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zclaxton\Desktop\"/>
    </mc:Choice>
  </mc:AlternateContent>
  <xr:revisionPtr revIDLastSave="0" documentId="13_ncr:1_{8614B96D-97F5-4A79-A642-C84B97ABD864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README" sheetId="1" r:id="rId1"/>
    <sheet name="Funnel Data" sheetId="2" r:id="rId2"/>
    <sheet name="Asset Data" sheetId="3" r:id="rId3"/>
    <sheet name="New Promo Template" sheetId="4" r:id="rId4"/>
  </sheets>
  <definedNames>
    <definedName name="_xlnm._FilterDatabase" localSheetId="1" hidden="1">'Funnel Data'!$A$2:$P$1308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813" i="2" l="1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86" i="2"/>
  <c r="R887" i="2"/>
  <c r="R889" i="2"/>
  <c r="R901" i="2"/>
  <c r="R905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Q854" i="2" s="1"/>
  <c r="K855" i="2"/>
  <c r="Q855" i="2" s="1"/>
  <c r="K856" i="2"/>
  <c r="Q856" i="2" s="1"/>
  <c r="K857" i="2"/>
  <c r="Q857" i="2" s="1"/>
  <c r="K858" i="2"/>
  <c r="Q858" i="2" s="1"/>
  <c r="K859" i="2"/>
  <c r="R859" i="2" s="1"/>
  <c r="K860" i="2"/>
  <c r="R860" i="2" s="1"/>
  <c r="K861" i="2"/>
  <c r="Q861" i="2" s="1"/>
  <c r="K862" i="2"/>
  <c r="Q862" i="2" s="1"/>
  <c r="K863" i="2"/>
  <c r="R863" i="2" s="1"/>
  <c r="K864" i="2"/>
  <c r="Q864" i="2" s="1"/>
  <c r="K865" i="2"/>
  <c r="R865" i="2" s="1"/>
  <c r="K866" i="2"/>
  <c r="Q866" i="2" s="1"/>
  <c r="K867" i="2"/>
  <c r="R867" i="2" s="1"/>
  <c r="K868" i="2"/>
  <c r="Q868" i="2" s="1"/>
  <c r="K869" i="2"/>
  <c r="Q869" i="2" s="1"/>
  <c r="K870" i="2"/>
  <c r="R870" i="2" s="1"/>
  <c r="K871" i="2"/>
  <c r="R871" i="2" s="1"/>
  <c r="K872" i="2"/>
  <c r="R872" i="2" s="1"/>
  <c r="K873" i="2"/>
  <c r="R873" i="2" s="1"/>
  <c r="K874" i="2"/>
  <c r="R874" i="2" s="1"/>
  <c r="K875" i="2"/>
  <c r="R875" i="2" s="1"/>
  <c r="K876" i="2"/>
  <c r="R876" i="2" s="1"/>
  <c r="K877" i="2"/>
  <c r="R877" i="2" s="1"/>
  <c r="K878" i="2"/>
  <c r="R878" i="2" s="1"/>
  <c r="K879" i="2"/>
  <c r="R879" i="2" s="1"/>
  <c r="K880" i="2"/>
  <c r="R880" i="2" s="1"/>
  <c r="K881" i="2"/>
  <c r="R881" i="2" s="1"/>
  <c r="K882" i="2"/>
  <c r="R882" i="2" s="1"/>
  <c r="K883" i="2"/>
  <c r="R883" i="2" s="1"/>
  <c r="K884" i="2"/>
  <c r="R884" i="2" s="1"/>
  <c r="K885" i="2"/>
  <c r="R885" i="2" s="1"/>
  <c r="K886" i="2"/>
  <c r="Q886" i="2" s="1"/>
  <c r="K887" i="2"/>
  <c r="Q887" i="2" s="1"/>
  <c r="K888" i="2"/>
  <c r="R888" i="2" s="1"/>
  <c r="K889" i="2"/>
  <c r="Q889" i="2" s="1"/>
  <c r="K890" i="2"/>
  <c r="R890" i="2" s="1"/>
  <c r="K891" i="2"/>
  <c r="R891" i="2" s="1"/>
  <c r="K892" i="2"/>
  <c r="R892" i="2" s="1"/>
  <c r="K893" i="2"/>
  <c r="R893" i="2" s="1"/>
  <c r="K894" i="2"/>
  <c r="R894" i="2" s="1"/>
  <c r="K895" i="2"/>
  <c r="R895" i="2" s="1"/>
  <c r="K896" i="2"/>
  <c r="R896" i="2" s="1"/>
  <c r="K897" i="2"/>
  <c r="R897" i="2" s="1"/>
  <c r="K898" i="2"/>
  <c r="R898" i="2" s="1"/>
  <c r="K899" i="2"/>
  <c r="R899" i="2" s="1"/>
  <c r="K900" i="2"/>
  <c r="R900" i="2" s="1"/>
  <c r="K901" i="2"/>
  <c r="Q901" i="2" s="1"/>
  <c r="K902" i="2"/>
  <c r="R902" i="2" s="1"/>
  <c r="K903" i="2"/>
  <c r="R903" i="2" s="1"/>
  <c r="K904" i="2"/>
  <c r="R904" i="2" s="1"/>
  <c r="K905" i="2"/>
  <c r="Q905" i="2" s="1"/>
  <c r="K906" i="2"/>
  <c r="R906" i="2" s="1"/>
  <c r="K907" i="2"/>
  <c r="R907" i="2" s="1"/>
  <c r="K908" i="2"/>
  <c r="R908" i="2" s="1"/>
  <c r="K909" i="2"/>
  <c r="R909" i="2" s="1"/>
  <c r="K910" i="2"/>
  <c r="R910" i="2" s="1"/>
  <c r="K911" i="2"/>
  <c r="R911" i="2" s="1"/>
  <c r="K912" i="2"/>
  <c r="R912" i="2" s="1"/>
  <c r="K913" i="2"/>
  <c r="R913" i="2" s="1"/>
  <c r="K914" i="2"/>
  <c r="R914" i="2" s="1"/>
  <c r="K915" i="2"/>
  <c r="R915" i="2" s="1"/>
  <c r="K916" i="2"/>
  <c r="R916" i="2" s="1"/>
  <c r="K917" i="2"/>
  <c r="R917" i="2" s="1"/>
  <c r="K918" i="2"/>
  <c r="R918" i="2" s="1"/>
  <c r="K919" i="2"/>
  <c r="R919" i="2" s="1"/>
  <c r="K920" i="2"/>
  <c r="R920" i="2" s="1"/>
  <c r="K921" i="2"/>
  <c r="R921" i="2" s="1"/>
  <c r="K922" i="2"/>
  <c r="R922" i="2" s="1"/>
  <c r="K923" i="2"/>
  <c r="R923" i="2" s="1"/>
  <c r="K924" i="2"/>
  <c r="R924" i="2" s="1"/>
  <c r="K925" i="2"/>
  <c r="R925" i="2" s="1"/>
  <c r="K926" i="2"/>
  <c r="R926" i="2" s="1"/>
  <c r="K927" i="2"/>
  <c r="R927" i="2" s="1"/>
  <c r="K928" i="2"/>
  <c r="R928" i="2" s="1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CE4" i="3"/>
  <c r="CE5" i="3"/>
  <c r="CE6" i="3"/>
  <c r="CE7" i="3"/>
  <c r="CE3" i="3"/>
  <c r="CA4" i="3"/>
  <c r="CA5" i="3"/>
  <c r="CA6" i="3"/>
  <c r="CA7" i="3"/>
  <c r="CA3" i="3"/>
  <c r="R122" i="2"/>
  <c r="Q122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" i="2"/>
  <c r="Q923" i="2" l="1"/>
  <c r="Q907" i="2"/>
  <c r="Q891" i="2"/>
  <c r="Q875" i="2"/>
  <c r="Q859" i="2"/>
  <c r="R858" i="2"/>
  <c r="R857" i="2"/>
  <c r="R856" i="2"/>
  <c r="R855" i="2"/>
  <c r="R854" i="2"/>
  <c r="R869" i="2"/>
  <c r="R868" i="2"/>
  <c r="Q916" i="2"/>
  <c r="Q900" i="2"/>
  <c r="Q884" i="2"/>
  <c r="Q915" i="2"/>
  <c r="Q899" i="2"/>
  <c r="Q883" i="2"/>
  <c r="Q867" i="2"/>
  <c r="R866" i="2"/>
  <c r="Q914" i="2"/>
  <c r="Q898" i="2"/>
  <c r="Q882" i="2"/>
  <c r="Q913" i="2"/>
  <c r="Q897" i="2"/>
  <c r="Q881" i="2"/>
  <c r="Q865" i="2"/>
  <c r="R864" i="2"/>
  <c r="Q922" i="2"/>
  <c r="Q906" i="2"/>
  <c r="Q890" i="2"/>
  <c r="Q874" i="2"/>
  <c r="Q921" i="2"/>
  <c r="Q873" i="2"/>
  <c r="Q920" i="2"/>
  <c r="Q904" i="2"/>
  <c r="Q888" i="2"/>
  <c r="Q872" i="2"/>
  <c r="Q919" i="2"/>
  <c r="Q903" i="2"/>
  <c r="Q871" i="2"/>
  <c r="Q918" i="2"/>
  <c r="Q902" i="2"/>
  <c r="Q870" i="2"/>
  <c r="Q917" i="2"/>
  <c r="Q885" i="2"/>
  <c r="Q928" i="2"/>
  <c r="Q912" i="2"/>
  <c r="Q896" i="2"/>
  <c r="Q880" i="2"/>
  <c r="Q927" i="2"/>
  <c r="Q911" i="2"/>
  <c r="Q895" i="2"/>
  <c r="Q879" i="2"/>
  <c r="Q863" i="2"/>
  <c r="R862" i="2"/>
  <c r="R861" i="2"/>
  <c r="Q926" i="2"/>
  <c r="Q910" i="2"/>
  <c r="Q894" i="2"/>
  <c r="Q878" i="2"/>
  <c r="Q925" i="2"/>
  <c r="Q909" i="2"/>
  <c r="Q893" i="2"/>
  <c r="Q877" i="2"/>
  <c r="Q924" i="2"/>
  <c r="Q908" i="2"/>
  <c r="Q892" i="2"/>
  <c r="Q876" i="2"/>
  <c r="Q860" i="2"/>
  <c r="CE8" i="3"/>
  <c r="CA8" i="3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P812" i="2"/>
  <c r="O812" i="2"/>
  <c r="M812" i="2"/>
  <c r="G812" i="2"/>
  <c r="P811" i="2"/>
  <c r="O811" i="2"/>
  <c r="M811" i="2"/>
  <c r="G811" i="2"/>
  <c r="P810" i="2"/>
  <c r="O810" i="2"/>
  <c r="M810" i="2"/>
  <c r="G810" i="2"/>
  <c r="P809" i="2"/>
  <c r="O809" i="2"/>
  <c r="M809" i="2"/>
  <c r="G809" i="2"/>
  <c r="P808" i="2"/>
  <c r="O808" i="2"/>
  <c r="M808" i="2"/>
  <c r="G808" i="2"/>
  <c r="N808" i="2" s="1"/>
  <c r="P807" i="2"/>
  <c r="O807" i="2"/>
  <c r="M807" i="2"/>
  <c r="G807" i="2"/>
  <c r="K807" i="2" s="1"/>
  <c r="P806" i="2"/>
  <c r="O806" i="2"/>
  <c r="M806" i="2"/>
  <c r="G806" i="2"/>
  <c r="L806" i="2" s="1"/>
  <c r="P805" i="2"/>
  <c r="O805" i="2"/>
  <c r="M805" i="2"/>
  <c r="G805" i="2"/>
  <c r="N805" i="2" s="1"/>
  <c r="P804" i="2"/>
  <c r="O804" i="2"/>
  <c r="M804" i="2"/>
  <c r="G804" i="2"/>
  <c r="K804" i="2" s="1"/>
  <c r="P803" i="2"/>
  <c r="O803" i="2"/>
  <c r="M803" i="2"/>
  <c r="G803" i="2"/>
  <c r="P802" i="2"/>
  <c r="O802" i="2"/>
  <c r="M802" i="2"/>
  <c r="G802" i="2"/>
  <c r="L802" i="2" s="1"/>
  <c r="P801" i="2"/>
  <c r="O801" i="2"/>
  <c r="M801" i="2"/>
  <c r="G801" i="2"/>
  <c r="L801" i="2" s="1"/>
  <c r="P800" i="2"/>
  <c r="O800" i="2"/>
  <c r="M800" i="2"/>
  <c r="G800" i="2"/>
  <c r="P799" i="2"/>
  <c r="O799" i="2"/>
  <c r="M799" i="2"/>
  <c r="G799" i="2"/>
  <c r="N799" i="2" s="1"/>
  <c r="P798" i="2"/>
  <c r="O798" i="2"/>
  <c r="M798" i="2"/>
  <c r="G798" i="2"/>
  <c r="P797" i="2"/>
  <c r="O797" i="2"/>
  <c r="M797" i="2"/>
  <c r="G797" i="2"/>
  <c r="L797" i="2" s="1"/>
  <c r="P796" i="2"/>
  <c r="O796" i="2"/>
  <c r="M796" i="2"/>
  <c r="G796" i="2"/>
  <c r="L796" i="2" s="1"/>
  <c r="P795" i="2"/>
  <c r="O795" i="2"/>
  <c r="M795" i="2"/>
  <c r="G795" i="2"/>
  <c r="P794" i="2"/>
  <c r="O794" i="2"/>
  <c r="M794" i="2"/>
  <c r="G794" i="2"/>
  <c r="K794" i="2" s="1"/>
  <c r="R794" i="2" s="1"/>
  <c r="P793" i="2"/>
  <c r="O793" i="2"/>
  <c r="M793" i="2"/>
  <c r="G793" i="2"/>
  <c r="K793" i="2" s="1"/>
  <c r="P792" i="2"/>
  <c r="O792" i="2"/>
  <c r="M792" i="2"/>
  <c r="G792" i="2"/>
  <c r="K792" i="2" s="1"/>
  <c r="P791" i="2"/>
  <c r="O791" i="2"/>
  <c r="M791" i="2"/>
  <c r="G791" i="2"/>
  <c r="P790" i="2"/>
  <c r="O790" i="2"/>
  <c r="M790" i="2"/>
  <c r="G790" i="2"/>
  <c r="N790" i="2" s="1"/>
  <c r="P789" i="2"/>
  <c r="O789" i="2"/>
  <c r="M789" i="2"/>
  <c r="G789" i="2"/>
  <c r="N789" i="2" s="1"/>
  <c r="P788" i="2"/>
  <c r="O788" i="2"/>
  <c r="M788" i="2"/>
  <c r="G788" i="2"/>
  <c r="K788" i="2" s="1"/>
  <c r="P787" i="2"/>
  <c r="O787" i="2"/>
  <c r="M787" i="2"/>
  <c r="G787" i="2"/>
  <c r="L787" i="2" s="1"/>
  <c r="P786" i="2"/>
  <c r="O786" i="2"/>
  <c r="M786" i="2"/>
  <c r="G786" i="2"/>
  <c r="N786" i="2" s="1"/>
  <c r="P785" i="2"/>
  <c r="O785" i="2"/>
  <c r="M785" i="2"/>
  <c r="G785" i="2"/>
  <c r="N785" i="2" s="1"/>
  <c r="P784" i="2"/>
  <c r="O784" i="2"/>
  <c r="M784" i="2"/>
  <c r="G784" i="2"/>
  <c r="N784" i="2" s="1"/>
  <c r="P783" i="2"/>
  <c r="O783" i="2"/>
  <c r="M783" i="2"/>
  <c r="G783" i="2"/>
  <c r="N783" i="2" s="1"/>
  <c r="P782" i="2"/>
  <c r="O782" i="2"/>
  <c r="M782" i="2"/>
  <c r="G782" i="2"/>
  <c r="N782" i="2" s="1"/>
  <c r="P781" i="2"/>
  <c r="O781" i="2"/>
  <c r="M781" i="2"/>
  <c r="G781" i="2"/>
  <c r="P780" i="2"/>
  <c r="O780" i="2"/>
  <c r="M780" i="2"/>
  <c r="G780" i="2"/>
  <c r="K780" i="2" s="1"/>
  <c r="R780" i="2" s="1"/>
  <c r="P779" i="2"/>
  <c r="O779" i="2"/>
  <c r="M779" i="2"/>
  <c r="G779" i="2"/>
  <c r="N779" i="2" s="1"/>
  <c r="P778" i="2"/>
  <c r="O778" i="2"/>
  <c r="M778" i="2"/>
  <c r="G778" i="2"/>
  <c r="P777" i="2"/>
  <c r="O777" i="2"/>
  <c r="M777" i="2"/>
  <c r="G777" i="2"/>
  <c r="N777" i="2" s="1"/>
  <c r="P776" i="2"/>
  <c r="O776" i="2"/>
  <c r="M776" i="2"/>
  <c r="G776" i="2"/>
  <c r="P775" i="2"/>
  <c r="O775" i="2"/>
  <c r="M775" i="2"/>
  <c r="G775" i="2"/>
  <c r="P774" i="2"/>
  <c r="O774" i="2"/>
  <c r="M774" i="2"/>
  <c r="G774" i="2"/>
  <c r="P773" i="2"/>
  <c r="O773" i="2"/>
  <c r="M773" i="2"/>
  <c r="G773" i="2"/>
  <c r="P772" i="2"/>
  <c r="O772" i="2"/>
  <c r="M772" i="2"/>
  <c r="G772" i="2"/>
  <c r="P771" i="2"/>
  <c r="O771" i="2"/>
  <c r="M771" i="2"/>
  <c r="G771" i="2"/>
  <c r="P770" i="2"/>
  <c r="O770" i="2"/>
  <c r="M770" i="2"/>
  <c r="G770" i="2"/>
  <c r="N770" i="2" s="1"/>
  <c r="P769" i="2"/>
  <c r="O769" i="2"/>
  <c r="M769" i="2"/>
  <c r="G769" i="2"/>
  <c r="L769" i="2" s="1"/>
  <c r="P768" i="2"/>
  <c r="O768" i="2"/>
  <c r="M768" i="2"/>
  <c r="G768" i="2"/>
  <c r="P767" i="2"/>
  <c r="O767" i="2"/>
  <c r="M767" i="2"/>
  <c r="G767" i="2"/>
  <c r="N767" i="2" s="1"/>
  <c r="P766" i="2"/>
  <c r="O766" i="2"/>
  <c r="M766" i="2"/>
  <c r="G766" i="2"/>
  <c r="N766" i="2" s="1"/>
  <c r="P765" i="2"/>
  <c r="O765" i="2"/>
  <c r="M765" i="2"/>
  <c r="G765" i="2"/>
  <c r="N765" i="2" s="1"/>
  <c r="P764" i="2"/>
  <c r="O764" i="2"/>
  <c r="M764" i="2"/>
  <c r="G764" i="2"/>
  <c r="N764" i="2" s="1"/>
  <c r="P763" i="2"/>
  <c r="O763" i="2"/>
  <c r="M763" i="2"/>
  <c r="G763" i="2"/>
  <c r="N763" i="2" s="1"/>
  <c r="P762" i="2"/>
  <c r="O762" i="2"/>
  <c r="M762" i="2"/>
  <c r="G762" i="2"/>
  <c r="P761" i="2"/>
  <c r="O761" i="2"/>
  <c r="M761" i="2"/>
  <c r="G761" i="2"/>
  <c r="P760" i="2"/>
  <c r="O760" i="2"/>
  <c r="M760" i="2"/>
  <c r="G760" i="2"/>
  <c r="P759" i="2"/>
  <c r="O759" i="2"/>
  <c r="M759" i="2"/>
  <c r="G759" i="2"/>
  <c r="N759" i="2" s="1"/>
  <c r="P758" i="2"/>
  <c r="O758" i="2"/>
  <c r="M758" i="2"/>
  <c r="G758" i="2"/>
  <c r="N758" i="2" s="1"/>
  <c r="P757" i="2"/>
  <c r="O757" i="2"/>
  <c r="M757" i="2"/>
  <c r="G757" i="2"/>
  <c r="P756" i="2"/>
  <c r="O756" i="2"/>
  <c r="M756" i="2"/>
  <c r="G756" i="2"/>
  <c r="N756" i="2" s="1"/>
  <c r="P755" i="2"/>
  <c r="O755" i="2"/>
  <c r="M755" i="2"/>
  <c r="G755" i="2"/>
  <c r="N755" i="2" s="1"/>
  <c r="P754" i="2"/>
  <c r="O754" i="2"/>
  <c r="N754" i="2"/>
  <c r="M754" i="2"/>
  <c r="L754" i="2"/>
  <c r="K754" i="2"/>
  <c r="P753" i="2"/>
  <c r="O753" i="2"/>
  <c r="N753" i="2"/>
  <c r="M753" i="2"/>
  <c r="L753" i="2"/>
  <c r="K753" i="2"/>
  <c r="Q753" i="2" s="1"/>
  <c r="P752" i="2"/>
  <c r="O752" i="2"/>
  <c r="N752" i="2"/>
  <c r="M752" i="2"/>
  <c r="L752" i="2"/>
  <c r="K752" i="2"/>
  <c r="R752" i="2" s="1"/>
  <c r="P751" i="2"/>
  <c r="O751" i="2"/>
  <c r="N751" i="2"/>
  <c r="M751" i="2"/>
  <c r="L751" i="2"/>
  <c r="K751" i="2"/>
  <c r="R751" i="2" s="1"/>
  <c r="P750" i="2"/>
  <c r="O750" i="2"/>
  <c r="N750" i="2"/>
  <c r="M750" i="2"/>
  <c r="L750" i="2"/>
  <c r="K750" i="2"/>
  <c r="R750" i="2" s="1"/>
  <c r="P749" i="2"/>
  <c r="O749" i="2"/>
  <c r="N749" i="2"/>
  <c r="M749" i="2"/>
  <c r="L749" i="2"/>
  <c r="K749" i="2"/>
  <c r="R749" i="2" s="1"/>
  <c r="P748" i="2"/>
  <c r="O748" i="2"/>
  <c r="N748" i="2"/>
  <c r="M748" i="2"/>
  <c r="L748" i="2"/>
  <c r="K748" i="2"/>
  <c r="R748" i="2" s="1"/>
  <c r="P747" i="2"/>
  <c r="O747" i="2"/>
  <c r="N747" i="2"/>
  <c r="M747" i="2"/>
  <c r="L747" i="2"/>
  <c r="K747" i="2"/>
  <c r="R747" i="2" s="1"/>
  <c r="P746" i="2"/>
  <c r="O746" i="2"/>
  <c r="N746" i="2"/>
  <c r="M746" i="2"/>
  <c r="L746" i="2"/>
  <c r="K746" i="2"/>
  <c r="R746" i="2" s="1"/>
  <c r="P745" i="2"/>
  <c r="O745" i="2"/>
  <c r="N745" i="2"/>
  <c r="M745" i="2"/>
  <c r="L745" i="2"/>
  <c r="K745" i="2"/>
  <c r="P744" i="2"/>
  <c r="O744" i="2"/>
  <c r="N744" i="2"/>
  <c r="M744" i="2"/>
  <c r="L744" i="2"/>
  <c r="K744" i="2"/>
  <c r="P743" i="2"/>
  <c r="O743" i="2"/>
  <c r="N743" i="2"/>
  <c r="M743" i="2"/>
  <c r="L743" i="2"/>
  <c r="K743" i="2"/>
  <c r="P742" i="2"/>
  <c r="O742" i="2"/>
  <c r="N742" i="2"/>
  <c r="M742" i="2"/>
  <c r="L742" i="2"/>
  <c r="K742" i="2"/>
  <c r="Q742" i="2" s="1"/>
  <c r="P741" i="2"/>
  <c r="O741" i="2"/>
  <c r="N741" i="2"/>
  <c r="M741" i="2"/>
  <c r="L741" i="2"/>
  <c r="K741" i="2"/>
  <c r="Q741" i="2" s="1"/>
  <c r="P740" i="2"/>
  <c r="O740" i="2"/>
  <c r="N740" i="2"/>
  <c r="M740" i="2"/>
  <c r="L740" i="2"/>
  <c r="K740" i="2"/>
  <c r="R740" i="2" s="1"/>
  <c r="P739" i="2"/>
  <c r="O739" i="2"/>
  <c r="N739" i="2"/>
  <c r="M739" i="2"/>
  <c r="L739" i="2"/>
  <c r="K739" i="2"/>
  <c r="Q739" i="2" s="1"/>
  <c r="P738" i="2"/>
  <c r="O738" i="2"/>
  <c r="N738" i="2"/>
  <c r="M738" i="2"/>
  <c r="L738" i="2"/>
  <c r="K738" i="2"/>
  <c r="R738" i="2" s="1"/>
  <c r="P737" i="2"/>
  <c r="O737" i="2"/>
  <c r="N737" i="2"/>
  <c r="M737" i="2"/>
  <c r="L737" i="2"/>
  <c r="K737" i="2"/>
  <c r="Q737" i="2" s="1"/>
  <c r="P736" i="2"/>
  <c r="O736" i="2"/>
  <c r="N736" i="2"/>
  <c r="M736" i="2"/>
  <c r="L736" i="2"/>
  <c r="K736" i="2"/>
  <c r="P735" i="2"/>
  <c r="O735" i="2"/>
  <c r="N735" i="2"/>
  <c r="M735" i="2"/>
  <c r="L735" i="2"/>
  <c r="K735" i="2"/>
  <c r="P734" i="2"/>
  <c r="O734" i="2"/>
  <c r="N734" i="2"/>
  <c r="M734" i="2"/>
  <c r="L734" i="2"/>
  <c r="K734" i="2"/>
  <c r="P733" i="2"/>
  <c r="O733" i="2"/>
  <c r="N733" i="2"/>
  <c r="M733" i="2"/>
  <c r="L733" i="2"/>
  <c r="K733" i="2"/>
  <c r="Q733" i="2" s="1"/>
  <c r="P732" i="2"/>
  <c r="O732" i="2"/>
  <c r="N732" i="2"/>
  <c r="M732" i="2"/>
  <c r="L732" i="2"/>
  <c r="K732" i="2"/>
  <c r="P731" i="2"/>
  <c r="O731" i="2"/>
  <c r="N731" i="2"/>
  <c r="M731" i="2"/>
  <c r="L731" i="2"/>
  <c r="K731" i="2"/>
  <c r="P730" i="2"/>
  <c r="O730" i="2"/>
  <c r="N730" i="2"/>
  <c r="M730" i="2"/>
  <c r="L730" i="2"/>
  <c r="K730" i="2"/>
  <c r="Q730" i="2" s="1"/>
  <c r="P729" i="2"/>
  <c r="O729" i="2"/>
  <c r="N729" i="2"/>
  <c r="M729" i="2"/>
  <c r="L729" i="2"/>
  <c r="K729" i="2"/>
  <c r="P728" i="2"/>
  <c r="O728" i="2"/>
  <c r="N728" i="2"/>
  <c r="M728" i="2"/>
  <c r="L728" i="2"/>
  <c r="K728" i="2"/>
  <c r="R728" i="2" s="1"/>
  <c r="P727" i="2"/>
  <c r="O727" i="2"/>
  <c r="N727" i="2"/>
  <c r="M727" i="2"/>
  <c r="L727" i="2"/>
  <c r="K727" i="2"/>
  <c r="P726" i="2"/>
  <c r="O726" i="2"/>
  <c r="N726" i="2"/>
  <c r="M726" i="2"/>
  <c r="L726" i="2"/>
  <c r="K726" i="2"/>
  <c r="R726" i="2" s="1"/>
  <c r="P725" i="2"/>
  <c r="O725" i="2"/>
  <c r="N725" i="2"/>
  <c r="M725" i="2"/>
  <c r="L725" i="2"/>
  <c r="K725" i="2"/>
  <c r="Q725" i="2" s="1"/>
  <c r="P724" i="2"/>
  <c r="O724" i="2"/>
  <c r="N724" i="2"/>
  <c r="M724" i="2"/>
  <c r="L724" i="2"/>
  <c r="K724" i="2"/>
  <c r="P723" i="2"/>
  <c r="O723" i="2"/>
  <c r="N723" i="2"/>
  <c r="M723" i="2"/>
  <c r="L723" i="2"/>
  <c r="K723" i="2"/>
  <c r="Q723" i="2" s="1"/>
  <c r="P722" i="2"/>
  <c r="O722" i="2"/>
  <c r="N722" i="2"/>
  <c r="M722" i="2"/>
  <c r="L722" i="2"/>
  <c r="K722" i="2"/>
  <c r="P721" i="2"/>
  <c r="O721" i="2"/>
  <c r="N721" i="2"/>
  <c r="M721" i="2"/>
  <c r="L721" i="2"/>
  <c r="K721" i="2"/>
  <c r="P720" i="2"/>
  <c r="O720" i="2"/>
  <c r="N720" i="2"/>
  <c r="M720" i="2"/>
  <c r="L720" i="2"/>
  <c r="K720" i="2"/>
  <c r="Q720" i="2" s="1"/>
  <c r="P719" i="2"/>
  <c r="O719" i="2"/>
  <c r="N719" i="2"/>
  <c r="M719" i="2"/>
  <c r="L719" i="2"/>
  <c r="K719" i="2"/>
  <c r="P718" i="2"/>
  <c r="O718" i="2"/>
  <c r="N718" i="2"/>
  <c r="M718" i="2"/>
  <c r="L718" i="2"/>
  <c r="K718" i="2"/>
  <c r="Q718" i="2" s="1"/>
  <c r="P717" i="2"/>
  <c r="O717" i="2"/>
  <c r="N717" i="2"/>
  <c r="M717" i="2"/>
  <c r="L717" i="2"/>
  <c r="K717" i="2"/>
  <c r="R717" i="2" s="1"/>
  <c r="P716" i="2"/>
  <c r="O716" i="2"/>
  <c r="N716" i="2"/>
  <c r="M716" i="2"/>
  <c r="L716" i="2"/>
  <c r="K716" i="2"/>
  <c r="R716" i="2" s="1"/>
  <c r="P715" i="2"/>
  <c r="O715" i="2"/>
  <c r="N715" i="2"/>
  <c r="M715" i="2"/>
  <c r="L715" i="2"/>
  <c r="K715" i="2"/>
  <c r="P714" i="2"/>
  <c r="O714" i="2"/>
  <c r="N714" i="2"/>
  <c r="M714" i="2"/>
  <c r="L714" i="2"/>
  <c r="K714" i="2"/>
  <c r="R714" i="2" s="1"/>
  <c r="P713" i="2"/>
  <c r="O713" i="2"/>
  <c r="N713" i="2"/>
  <c r="M713" i="2"/>
  <c r="L713" i="2"/>
  <c r="K713" i="2"/>
  <c r="R713" i="2" s="1"/>
  <c r="P712" i="2"/>
  <c r="O712" i="2"/>
  <c r="N712" i="2"/>
  <c r="M712" i="2"/>
  <c r="L712" i="2"/>
  <c r="K712" i="2"/>
  <c r="P711" i="2"/>
  <c r="O711" i="2"/>
  <c r="N711" i="2"/>
  <c r="M711" i="2"/>
  <c r="L711" i="2"/>
  <c r="K711" i="2"/>
  <c r="R711" i="2" s="1"/>
  <c r="P710" i="2"/>
  <c r="O710" i="2"/>
  <c r="N710" i="2"/>
  <c r="M710" i="2"/>
  <c r="L710" i="2"/>
  <c r="K710" i="2"/>
  <c r="Q710" i="2" s="1"/>
  <c r="P709" i="2"/>
  <c r="O709" i="2"/>
  <c r="N709" i="2"/>
  <c r="M709" i="2"/>
  <c r="L709" i="2"/>
  <c r="K709" i="2"/>
  <c r="P708" i="2"/>
  <c r="O708" i="2"/>
  <c r="N708" i="2"/>
  <c r="M708" i="2"/>
  <c r="L708" i="2"/>
  <c r="K708" i="2"/>
  <c r="R708" i="2" s="1"/>
  <c r="P707" i="2"/>
  <c r="O707" i="2"/>
  <c r="N707" i="2"/>
  <c r="M707" i="2"/>
  <c r="L707" i="2"/>
  <c r="K707" i="2"/>
  <c r="P706" i="2"/>
  <c r="O706" i="2"/>
  <c r="N706" i="2"/>
  <c r="M706" i="2"/>
  <c r="L706" i="2"/>
  <c r="K706" i="2"/>
  <c r="R706" i="2" s="1"/>
  <c r="P705" i="2"/>
  <c r="O705" i="2"/>
  <c r="N705" i="2"/>
  <c r="M705" i="2"/>
  <c r="L705" i="2"/>
  <c r="K705" i="2"/>
  <c r="P704" i="2"/>
  <c r="O704" i="2"/>
  <c r="N704" i="2"/>
  <c r="M704" i="2"/>
  <c r="L704" i="2"/>
  <c r="K704" i="2"/>
  <c r="Q704" i="2" s="1"/>
  <c r="P703" i="2"/>
  <c r="O703" i="2"/>
  <c r="N703" i="2"/>
  <c r="M703" i="2"/>
  <c r="L703" i="2"/>
  <c r="K703" i="2"/>
  <c r="P702" i="2"/>
  <c r="O702" i="2"/>
  <c r="N702" i="2"/>
  <c r="M702" i="2"/>
  <c r="L702" i="2"/>
  <c r="K702" i="2"/>
  <c r="R702" i="2" s="1"/>
  <c r="P701" i="2"/>
  <c r="O701" i="2"/>
  <c r="N701" i="2"/>
  <c r="M701" i="2"/>
  <c r="L701" i="2"/>
  <c r="K701" i="2"/>
  <c r="P700" i="2"/>
  <c r="O700" i="2"/>
  <c r="N700" i="2"/>
  <c r="M700" i="2"/>
  <c r="L700" i="2"/>
  <c r="K700" i="2"/>
  <c r="R700" i="2" s="1"/>
  <c r="P699" i="2"/>
  <c r="O699" i="2"/>
  <c r="N699" i="2"/>
  <c r="M699" i="2"/>
  <c r="L699" i="2"/>
  <c r="K699" i="2"/>
  <c r="R699" i="2" s="1"/>
  <c r="P698" i="2"/>
  <c r="O698" i="2"/>
  <c r="N698" i="2"/>
  <c r="M698" i="2"/>
  <c r="L698" i="2"/>
  <c r="K698" i="2"/>
  <c r="R698" i="2" s="1"/>
  <c r="P697" i="2"/>
  <c r="O697" i="2"/>
  <c r="N697" i="2"/>
  <c r="M697" i="2"/>
  <c r="L697" i="2"/>
  <c r="K697" i="2"/>
  <c r="R697" i="2" s="1"/>
  <c r="P696" i="2"/>
  <c r="O696" i="2"/>
  <c r="N696" i="2"/>
  <c r="M696" i="2"/>
  <c r="L696" i="2"/>
  <c r="K696" i="2"/>
  <c r="R696" i="2" s="1"/>
  <c r="P695" i="2"/>
  <c r="O695" i="2"/>
  <c r="N695" i="2"/>
  <c r="M695" i="2"/>
  <c r="L695" i="2"/>
  <c r="K695" i="2"/>
  <c r="R695" i="2" s="1"/>
  <c r="P694" i="2"/>
  <c r="O694" i="2"/>
  <c r="N694" i="2"/>
  <c r="M694" i="2"/>
  <c r="L694" i="2"/>
  <c r="K694" i="2"/>
  <c r="Q694" i="2" s="1"/>
  <c r="P693" i="2"/>
  <c r="O693" i="2"/>
  <c r="N693" i="2"/>
  <c r="M693" i="2"/>
  <c r="L693" i="2"/>
  <c r="K693" i="2"/>
  <c r="R693" i="2" s="1"/>
  <c r="P692" i="2"/>
  <c r="O692" i="2"/>
  <c r="N692" i="2"/>
  <c r="M692" i="2"/>
  <c r="L692" i="2"/>
  <c r="K692" i="2"/>
  <c r="P691" i="2"/>
  <c r="O691" i="2"/>
  <c r="N691" i="2"/>
  <c r="M691" i="2"/>
  <c r="L691" i="2"/>
  <c r="K691" i="2"/>
  <c r="Q691" i="2" s="1"/>
  <c r="P690" i="2"/>
  <c r="O690" i="2"/>
  <c r="N690" i="2"/>
  <c r="M690" i="2"/>
  <c r="L690" i="2"/>
  <c r="K690" i="2"/>
  <c r="P689" i="2"/>
  <c r="O689" i="2"/>
  <c r="N689" i="2"/>
  <c r="M689" i="2"/>
  <c r="L689" i="2"/>
  <c r="K689" i="2"/>
  <c r="P688" i="2"/>
  <c r="O688" i="2"/>
  <c r="N688" i="2"/>
  <c r="M688" i="2"/>
  <c r="L688" i="2"/>
  <c r="K688" i="2"/>
  <c r="Q688" i="2" s="1"/>
  <c r="P687" i="2"/>
  <c r="O687" i="2"/>
  <c r="N687" i="2"/>
  <c r="M687" i="2"/>
  <c r="L687" i="2"/>
  <c r="K687" i="2"/>
  <c r="P686" i="2"/>
  <c r="O686" i="2"/>
  <c r="N686" i="2"/>
  <c r="M686" i="2"/>
  <c r="L686" i="2"/>
  <c r="K686" i="2"/>
  <c r="R686" i="2" s="1"/>
  <c r="P685" i="2"/>
  <c r="O685" i="2"/>
  <c r="N685" i="2"/>
  <c r="M685" i="2"/>
  <c r="L685" i="2"/>
  <c r="K685" i="2"/>
  <c r="P684" i="2"/>
  <c r="O684" i="2"/>
  <c r="N684" i="2"/>
  <c r="M684" i="2"/>
  <c r="L684" i="2"/>
  <c r="K684" i="2"/>
  <c r="P683" i="2"/>
  <c r="O683" i="2"/>
  <c r="N683" i="2"/>
  <c r="M683" i="2"/>
  <c r="L683" i="2"/>
  <c r="K683" i="2"/>
  <c r="Q683" i="2" s="1"/>
  <c r="P682" i="2"/>
  <c r="O682" i="2"/>
  <c r="N682" i="2"/>
  <c r="M682" i="2"/>
  <c r="L682" i="2"/>
  <c r="K682" i="2"/>
  <c r="R682" i="2" s="1"/>
  <c r="P681" i="2"/>
  <c r="O681" i="2"/>
  <c r="N681" i="2"/>
  <c r="M681" i="2"/>
  <c r="L681" i="2"/>
  <c r="K681" i="2"/>
  <c r="P680" i="2"/>
  <c r="O680" i="2"/>
  <c r="N680" i="2"/>
  <c r="M680" i="2"/>
  <c r="L680" i="2"/>
  <c r="K680" i="2"/>
  <c r="P679" i="2"/>
  <c r="O679" i="2"/>
  <c r="N679" i="2"/>
  <c r="M679" i="2"/>
  <c r="L679" i="2"/>
  <c r="K679" i="2"/>
  <c r="P678" i="2"/>
  <c r="O678" i="2"/>
  <c r="N678" i="2"/>
  <c r="M678" i="2"/>
  <c r="L678" i="2"/>
  <c r="K678" i="2"/>
  <c r="P677" i="2"/>
  <c r="O677" i="2"/>
  <c r="N677" i="2"/>
  <c r="M677" i="2"/>
  <c r="L677" i="2"/>
  <c r="K677" i="2"/>
  <c r="Q677" i="2" s="1"/>
  <c r="P676" i="2"/>
  <c r="O676" i="2"/>
  <c r="N676" i="2"/>
  <c r="M676" i="2"/>
  <c r="L676" i="2"/>
  <c r="K676" i="2"/>
  <c r="Q676" i="2" s="1"/>
  <c r="P675" i="2"/>
  <c r="O675" i="2"/>
  <c r="N675" i="2"/>
  <c r="M675" i="2"/>
  <c r="L675" i="2"/>
  <c r="K675" i="2"/>
  <c r="P674" i="2"/>
  <c r="O674" i="2"/>
  <c r="N674" i="2"/>
  <c r="M674" i="2"/>
  <c r="L674" i="2"/>
  <c r="K674" i="2"/>
  <c r="Q674" i="2" s="1"/>
  <c r="P673" i="2"/>
  <c r="O673" i="2"/>
  <c r="N673" i="2"/>
  <c r="M673" i="2"/>
  <c r="L673" i="2"/>
  <c r="K673" i="2"/>
  <c r="R673" i="2" s="1"/>
  <c r="P672" i="2"/>
  <c r="O672" i="2"/>
  <c r="N672" i="2"/>
  <c r="M672" i="2"/>
  <c r="L672" i="2"/>
  <c r="K672" i="2"/>
  <c r="P671" i="2"/>
  <c r="O671" i="2"/>
  <c r="N671" i="2"/>
  <c r="M671" i="2"/>
  <c r="L671" i="2"/>
  <c r="K671" i="2"/>
  <c r="P670" i="2"/>
  <c r="O670" i="2"/>
  <c r="N670" i="2"/>
  <c r="M670" i="2"/>
  <c r="L670" i="2"/>
  <c r="K670" i="2"/>
  <c r="P669" i="2"/>
  <c r="O669" i="2"/>
  <c r="N669" i="2"/>
  <c r="M669" i="2"/>
  <c r="L669" i="2"/>
  <c r="K669" i="2"/>
  <c r="Q669" i="2" s="1"/>
  <c r="P668" i="2"/>
  <c r="O668" i="2"/>
  <c r="N668" i="2"/>
  <c r="M668" i="2"/>
  <c r="L668" i="2"/>
  <c r="K668" i="2"/>
  <c r="P667" i="2"/>
  <c r="O667" i="2"/>
  <c r="N667" i="2"/>
  <c r="M667" i="2"/>
  <c r="L667" i="2"/>
  <c r="K667" i="2"/>
  <c r="R667" i="2" s="1"/>
  <c r="P666" i="2"/>
  <c r="O666" i="2"/>
  <c r="N666" i="2"/>
  <c r="M666" i="2"/>
  <c r="L666" i="2"/>
  <c r="K666" i="2"/>
  <c r="P665" i="2"/>
  <c r="O665" i="2"/>
  <c r="N665" i="2"/>
  <c r="M665" i="2"/>
  <c r="L665" i="2"/>
  <c r="K665" i="2"/>
  <c r="Q665" i="2" s="1"/>
  <c r="P664" i="2"/>
  <c r="O664" i="2"/>
  <c r="N664" i="2"/>
  <c r="M664" i="2"/>
  <c r="L664" i="2"/>
  <c r="K664" i="2"/>
  <c r="Q664" i="2" s="1"/>
  <c r="P663" i="2"/>
  <c r="O663" i="2"/>
  <c r="N663" i="2"/>
  <c r="M663" i="2"/>
  <c r="L663" i="2"/>
  <c r="K663" i="2"/>
  <c r="R663" i="2" s="1"/>
  <c r="P662" i="2"/>
  <c r="O662" i="2"/>
  <c r="N662" i="2"/>
  <c r="M662" i="2"/>
  <c r="L662" i="2"/>
  <c r="K662" i="2"/>
  <c r="Q662" i="2" s="1"/>
  <c r="P661" i="2"/>
  <c r="O661" i="2"/>
  <c r="N661" i="2"/>
  <c r="M661" i="2"/>
  <c r="L661" i="2"/>
  <c r="K661" i="2"/>
  <c r="R661" i="2" s="1"/>
  <c r="P660" i="2"/>
  <c r="O660" i="2"/>
  <c r="N660" i="2"/>
  <c r="M660" i="2"/>
  <c r="L660" i="2"/>
  <c r="K660" i="2"/>
  <c r="P659" i="2"/>
  <c r="O659" i="2"/>
  <c r="N659" i="2"/>
  <c r="M659" i="2"/>
  <c r="L659" i="2"/>
  <c r="K659" i="2"/>
  <c r="P658" i="2"/>
  <c r="O658" i="2"/>
  <c r="N658" i="2"/>
  <c r="M658" i="2"/>
  <c r="L658" i="2"/>
  <c r="K658" i="2"/>
  <c r="P657" i="2"/>
  <c r="O657" i="2"/>
  <c r="N657" i="2"/>
  <c r="M657" i="2"/>
  <c r="L657" i="2"/>
  <c r="K657" i="2"/>
  <c r="Q657" i="2" s="1"/>
  <c r="P656" i="2"/>
  <c r="O656" i="2"/>
  <c r="N656" i="2"/>
  <c r="M656" i="2"/>
  <c r="L656" i="2"/>
  <c r="K656" i="2"/>
  <c r="P655" i="2"/>
  <c r="O655" i="2"/>
  <c r="N655" i="2"/>
  <c r="M655" i="2"/>
  <c r="L655" i="2"/>
  <c r="K655" i="2"/>
  <c r="P654" i="2"/>
  <c r="O654" i="2"/>
  <c r="N654" i="2"/>
  <c r="M654" i="2"/>
  <c r="L654" i="2"/>
  <c r="K654" i="2"/>
  <c r="R654" i="2" s="1"/>
  <c r="P653" i="2"/>
  <c r="O653" i="2"/>
  <c r="N653" i="2"/>
  <c r="M653" i="2"/>
  <c r="L653" i="2"/>
  <c r="K653" i="2"/>
  <c r="P652" i="2"/>
  <c r="O652" i="2"/>
  <c r="N652" i="2"/>
  <c r="M652" i="2"/>
  <c r="L652" i="2"/>
  <c r="K652" i="2"/>
  <c r="R652" i="2" s="1"/>
  <c r="P651" i="2"/>
  <c r="O651" i="2"/>
  <c r="N651" i="2"/>
  <c r="M651" i="2"/>
  <c r="L651" i="2"/>
  <c r="K651" i="2"/>
  <c r="P650" i="2"/>
  <c r="O650" i="2"/>
  <c r="N650" i="2"/>
  <c r="M650" i="2"/>
  <c r="L650" i="2"/>
  <c r="K650" i="2"/>
  <c r="Q650" i="2" s="1"/>
  <c r="P649" i="2"/>
  <c r="O649" i="2"/>
  <c r="N649" i="2"/>
  <c r="M649" i="2"/>
  <c r="L649" i="2"/>
  <c r="K649" i="2"/>
  <c r="P648" i="2"/>
  <c r="O648" i="2"/>
  <c r="N648" i="2"/>
  <c r="M648" i="2"/>
  <c r="L648" i="2"/>
  <c r="K648" i="2"/>
  <c r="R648" i="2" s="1"/>
  <c r="P647" i="2"/>
  <c r="O647" i="2"/>
  <c r="N647" i="2"/>
  <c r="M647" i="2"/>
  <c r="L647" i="2"/>
  <c r="K647" i="2"/>
  <c r="Q647" i="2" s="1"/>
  <c r="P646" i="2"/>
  <c r="O646" i="2"/>
  <c r="N646" i="2"/>
  <c r="M646" i="2"/>
  <c r="L646" i="2"/>
  <c r="K646" i="2"/>
  <c r="P645" i="2"/>
  <c r="O645" i="2"/>
  <c r="N645" i="2"/>
  <c r="M645" i="2"/>
  <c r="L645" i="2"/>
  <c r="K645" i="2"/>
  <c r="Q645" i="2" s="1"/>
  <c r="P644" i="2"/>
  <c r="O644" i="2"/>
  <c r="N644" i="2"/>
  <c r="M644" i="2"/>
  <c r="L644" i="2"/>
  <c r="K644" i="2"/>
  <c r="Q644" i="2" s="1"/>
  <c r="P643" i="2"/>
  <c r="O643" i="2"/>
  <c r="N643" i="2"/>
  <c r="M643" i="2"/>
  <c r="L643" i="2"/>
  <c r="K643" i="2"/>
  <c r="Q643" i="2" s="1"/>
  <c r="P642" i="2"/>
  <c r="O642" i="2"/>
  <c r="N642" i="2"/>
  <c r="M642" i="2"/>
  <c r="L642" i="2"/>
  <c r="K642" i="2"/>
  <c r="P641" i="2"/>
  <c r="O641" i="2"/>
  <c r="N641" i="2"/>
  <c r="M641" i="2"/>
  <c r="L641" i="2"/>
  <c r="K641" i="2"/>
  <c r="Q641" i="2" s="1"/>
  <c r="P640" i="2"/>
  <c r="O640" i="2"/>
  <c r="N640" i="2"/>
  <c r="M640" i="2"/>
  <c r="L640" i="2"/>
  <c r="K640" i="2"/>
  <c r="R640" i="2" s="1"/>
  <c r="P639" i="2"/>
  <c r="O639" i="2"/>
  <c r="N639" i="2"/>
  <c r="M639" i="2"/>
  <c r="L639" i="2"/>
  <c r="K639" i="2"/>
  <c r="P638" i="2"/>
  <c r="O638" i="2"/>
  <c r="N638" i="2"/>
  <c r="M638" i="2"/>
  <c r="L638" i="2"/>
  <c r="K638" i="2"/>
  <c r="R638" i="2" s="1"/>
  <c r="P637" i="2"/>
  <c r="O637" i="2"/>
  <c r="N637" i="2"/>
  <c r="M637" i="2"/>
  <c r="L637" i="2"/>
  <c r="K637" i="2"/>
  <c r="Q637" i="2" s="1"/>
  <c r="P636" i="2"/>
  <c r="O636" i="2"/>
  <c r="N636" i="2"/>
  <c r="M636" i="2"/>
  <c r="L636" i="2"/>
  <c r="K636" i="2"/>
  <c r="P635" i="2"/>
  <c r="O635" i="2"/>
  <c r="N635" i="2"/>
  <c r="M635" i="2"/>
  <c r="L635" i="2"/>
  <c r="K635" i="2"/>
  <c r="Q635" i="2" s="1"/>
  <c r="P634" i="2"/>
  <c r="O634" i="2"/>
  <c r="N634" i="2"/>
  <c r="M634" i="2"/>
  <c r="L634" i="2"/>
  <c r="K634" i="2"/>
  <c r="P633" i="2"/>
  <c r="O633" i="2"/>
  <c r="N633" i="2"/>
  <c r="M633" i="2"/>
  <c r="L633" i="2"/>
  <c r="K633" i="2"/>
  <c r="Q633" i="2" s="1"/>
  <c r="P632" i="2"/>
  <c r="O632" i="2"/>
  <c r="N632" i="2"/>
  <c r="M632" i="2"/>
  <c r="L632" i="2"/>
  <c r="K632" i="2"/>
  <c r="P631" i="2"/>
  <c r="O631" i="2"/>
  <c r="N631" i="2"/>
  <c r="M631" i="2"/>
  <c r="L631" i="2"/>
  <c r="K631" i="2"/>
  <c r="Q631" i="2" s="1"/>
  <c r="P630" i="2"/>
  <c r="O630" i="2"/>
  <c r="N630" i="2"/>
  <c r="M630" i="2"/>
  <c r="L630" i="2"/>
  <c r="K630" i="2"/>
  <c r="R630" i="2" s="1"/>
  <c r="P629" i="2"/>
  <c r="O629" i="2"/>
  <c r="N629" i="2"/>
  <c r="M629" i="2"/>
  <c r="L629" i="2"/>
  <c r="K629" i="2"/>
  <c r="P628" i="2"/>
  <c r="O628" i="2"/>
  <c r="N628" i="2"/>
  <c r="M628" i="2"/>
  <c r="L628" i="2"/>
  <c r="K628" i="2"/>
  <c r="P627" i="2"/>
  <c r="O627" i="2"/>
  <c r="N627" i="2"/>
  <c r="M627" i="2"/>
  <c r="L627" i="2"/>
  <c r="K627" i="2"/>
  <c r="P626" i="2"/>
  <c r="O626" i="2"/>
  <c r="N626" i="2"/>
  <c r="M626" i="2"/>
  <c r="L626" i="2"/>
  <c r="K626" i="2"/>
  <c r="P625" i="2"/>
  <c r="O625" i="2"/>
  <c r="N625" i="2"/>
  <c r="M625" i="2"/>
  <c r="L625" i="2"/>
  <c r="K625" i="2"/>
  <c r="Q625" i="2" s="1"/>
  <c r="P624" i="2"/>
  <c r="O624" i="2"/>
  <c r="N624" i="2"/>
  <c r="M624" i="2"/>
  <c r="L624" i="2"/>
  <c r="K624" i="2"/>
  <c r="P623" i="2"/>
  <c r="O623" i="2"/>
  <c r="N623" i="2"/>
  <c r="M623" i="2"/>
  <c r="L623" i="2"/>
  <c r="K623" i="2"/>
  <c r="P622" i="2"/>
  <c r="O622" i="2"/>
  <c r="N622" i="2"/>
  <c r="M622" i="2"/>
  <c r="L622" i="2"/>
  <c r="K622" i="2"/>
  <c r="P621" i="2"/>
  <c r="O621" i="2"/>
  <c r="N621" i="2"/>
  <c r="M621" i="2"/>
  <c r="L621" i="2"/>
  <c r="K621" i="2"/>
  <c r="Q621" i="2" s="1"/>
  <c r="P620" i="2"/>
  <c r="O620" i="2"/>
  <c r="N620" i="2"/>
  <c r="M620" i="2"/>
  <c r="L620" i="2"/>
  <c r="K620" i="2"/>
  <c r="R620" i="2" s="1"/>
  <c r="P619" i="2"/>
  <c r="O619" i="2"/>
  <c r="N619" i="2"/>
  <c r="M619" i="2"/>
  <c r="L619" i="2"/>
  <c r="K619" i="2"/>
  <c r="P618" i="2"/>
  <c r="O618" i="2"/>
  <c r="N618" i="2"/>
  <c r="M618" i="2"/>
  <c r="L618" i="2"/>
  <c r="K618" i="2"/>
  <c r="P617" i="2"/>
  <c r="O617" i="2"/>
  <c r="N617" i="2"/>
  <c r="M617" i="2"/>
  <c r="L617" i="2"/>
  <c r="K617" i="2"/>
  <c r="Q617" i="2" s="1"/>
  <c r="P616" i="2"/>
  <c r="O616" i="2"/>
  <c r="N616" i="2"/>
  <c r="M616" i="2"/>
  <c r="L616" i="2"/>
  <c r="K616" i="2"/>
  <c r="P615" i="2"/>
  <c r="O615" i="2"/>
  <c r="N615" i="2"/>
  <c r="M615" i="2"/>
  <c r="L615" i="2"/>
  <c r="K615" i="2"/>
  <c r="P614" i="2"/>
  <c r="O614" i="2"/>
  <c r="N614" i="2"/>
  <c r="M614" i="2"/>
  <c r="L614" i="2"/>
  <c r="K614" i="2"/>
  <c r="P613" i="2"/>
  <c r="O613" i="2"/>
  <c r="N613" i="2"/>
  <c r="M613" i="2"/>
  <c r="L613" i="2"/>
  <c r="K613" i="2"/>
  <c r="P612" i="2"/>
  <c r="O612" i="2"/>
  <c r="N612" i="2"/>
  <c r="M612" i="2"/>
  <c r="L612" i="2"/>
  <c r="K612" i="2"/>
  <c r="P611" i="2"/>
  <c r="O611" i="2"/>
  <c r="N611" i="2"/>
  <c r="M611" i="2"/>
  <c r="L611" i="2"/>
  <c r="K611" i="2"/>
  <c r="P610" i="2"/>
  <c r="O610" i="2"/>
  <c r="N610" i="2"/>
  <c r="M610" i="2"/>
  <c r="L610" i="2"/>
  <c r="K610" i="2"/>
  <c r="P609" i="2"/>
  <c r="O609" i="2"/>
  <c r="N609" i="2"/>
  <c r="M609" i="2"/>
  <c r="L609" i="2"/>
  <c r="K609" i="2"/>
  <c r="P608" i="2"/>
  <c r="O608" i="2"/>
  <c r="N608" i="2"/>
  <c r="M608" i="2"/>
  <c r="L608" i="2"/>
  <c r="K608" i="2"/>
  <c r="P607" i="2"/>
  <c r="O607" i="2"/>
  <c r="N607" i="2"/>
  <c r="M607" i="2"/>
  <c r="L607" i="2"/>
  <c r="K607" i="2"/>
  <c r="R607" i="2" s="1"/>
  <c r="P606" i="2"/>
  <c r="O606" i="2"/>
  <c r="N606" i="2"/>
  <c r="M606" i="2"/>
  <c r="L606" i="2"/>
  <c r="K606" i="2"/>
  <c r="P605" i="2"/>
  <c r="O605" i="2"/>
  <c r="N605" i="2"/>
  <c r="M605" i="2"/>
  <c r="L605" i="2"/>
  <c r="K605" i="2"/>
  <c r="R605" i="2" s="1"/>
  <c r="P604" i="2"/>
  <c r="O604" i="2"/>
  <c r="N604" i="2"/>
  <c r="M604" i="2"/>
  <c r="L604" i="2"/>
  <c r="K604" i="2"/>
  <c r="P603" i="2"/>
  <c r="O603" i="2"/>
  <c r="N603" i="2"/>
  <c r="M603" i="2"/>
  <c r="L603" i="2"/>
  <c r="K603" i="2"/>
  <c r="P602" i="2"/>
  <c r="O602" i="2"/>
  <c r="N602" i="2"/>
  <c r="M602" i="2"/>
  <c r="L602" i="2"/>
  <c r="K602" i="2"/>
  <c r="Q602" i="2" s="1"/>
  <c r="P601" i="2"/>
  <c r="O601" i="2"/>
  <c r="N601" i="2"/>
  <c r="M601" i="2"/>
  <c r="L601" i="2"/>
  <c r="K601" i="2"/>
  <c r="R601" i="2" s="1"/>
  <c r="P600" i="2"/>
  <c r="O600" i="2"/>
  <c r="N600" i="2"/>
  <c r="M600" i="2"/>
  <c r="L600" i="2"/>
  <c r="K600" i="2"/>
  <c r="Q600" i="2" s="1"/>
  <c r="P599" i="2"/>
  <c r="O599" i="2"/>
  <c r="N599" i="2"/>
  <c r="M599" i="2"/>
  <c r="L599" i="2"/>
  <c r="K599" i="2"/>
  <c r="R599" i="2" s="1"/>
  <c r="P598" i="2"/>
  <c r="O598" i="2"/>
  <c r="N598" i="2"/>
  <c r="M598" i="2"/>
  <c r="L598" i="2"/>
  <c r="K598" i="2"/>
  <c r="Q598" i="2" s="1"/>
  <c r="P597" i="2"/>
  <c r="O597" i="2"/>
  <c r="N597" i="2"/>
  <c r="M597" i="2"/>
  <c r="L597" i="2"/>
  <c r="K597" i="2"/>
  <c r="P596" i="2"/>
  <c r="O596" i="2"/>
  <c r="N596" i="2"/>
  <c r="M596" i="2"/>
  <c r="L596" i="2"/>
  <c r="K596" i="2"/>
  <c r="P595" i="2"/>
  <c r="O595" i="2"/>
  <c r="N595" i="2"/>
  <c r="M595" i="2"/>
  <c r="L595" i="2"/>
  <c r="K595" i="2"/>
  <c r="Q595" i="2" s="1"/>
  <c r="P594" i="2"/>
  <c r="O594" i="2"/>
  <c r="N594" i="2"/>
  <c r="M594" i="2"/>
  <c r="L594" i="2"/>
  <c r="K594" i="2"/>
  <c r="Q594" i="2" s="1"/>
  <c r="P593" i="2"/>
  <c r="O593" i="2"/>
  <c r="N593" i="2"/>
  <c r="M593" i="2"/>
  <c r="L593" i="2"/>
  <c r="K593" i="2"/>
  <c r="P592" i="2"/>
  <c r="O592" i="2"/>
  <c r="N592" i="2"/>
  <c r="M592" i="2"/>
  <c r="L592" i="2"/>
  <c r="K592" i="2"/>
  <c r="Q592" i="2" s="1"/>
  <c r="P591" i="2"/>
  <c r="O591" i="2"/>
  <c r="N591" i="2"/>
  <c r="M591" i="2"/>
  <c r="L591" i="2"/>
  <c r="K591" i="2"/>
  <c r="P590" i="2"/>
  <c r="O590" i="2"/>
  <c r="N590" i="2"/>
  <c r="M590" i="2"/>
  <c r="L590" i="2"/>
  <c r="K590" i="2"/>
  <c r="P589" i="2"/>
  <c r="O589" i="2"/>
  <c r="N589" i="2"/>
  <c r="M589" i="2"/>
  <c r="L589" i="2"/>
  <c r="K589" i="2"/>
  <c r="P588" i="2"/>
  <c r="O588" i="2"/>
  <c r="N588" i="2"/>
  <c r="M588" i="2"/>
  <c r="L588" i="2"/>
  <c r="K588" i="2"/>
  <c r="P587" i="2"/>
  <c r="O587" i="2"/>
  <c r="N587" i="2"/>
  <c r="M587" i="2"/>
  <c r="L587" i="2"/>
  <c r="K587" i="2"/>
  <c r="P586" i="2"/>
  <c r="O586" i="2"/>
  <c r="N586" i="2"/>
  <c r="M586" i="2"/>
  <c r="L586" i="2"/>
  <c r="K586" i="2"/>
  <c r="P585" i="2"/>
  <c r="O585" i="2"/>
  <c r="N585" i="2"/>
  <c r="M585" i="2"/>
  <c r="L585" i="2"/>
  <c r="K585" i="2"/>
  <c r="R585" i="2" s="1"/>
  <c r="P584" i="2"/>
  <c r="O584" i="2"/>
  <c r="N584" i="2"/>
  <c r="M584" i="2"/>
  <c r="L584" i="2"/>
  <c r="K584" i="2"/>
  <c r="P583" i="2"/>
  <c r="O583" i="2"/>
  <c r="N583" i="2"/>
  <c r="M583" i="2"/>
  <c r="L583" i="2"/>
  <c r="K583" i="2"/>
  <c r="P582" i="2"/>
  <c r="O582" i="2"/>
  <c r="N582" i="2"/>
  <c r="M582" i="2"/>
  <c r="L582" i="2"/>
  <c r="K582" i="2"/>
  <c r="P581" i="2"/>
  <c r="O581" i="2"/>
  <c r="N581" i="2"/>
  <c r="M581" i="2"/>
  <c r="L581" i="2"/>
  <c r="K581" i="2"/>
  <c r="P580" i="2"/>
  <c r="O580" i="2"/>
  <c r="N580" i="2"/>
  <c r="M580" i="2"/>
  <c r="L580" i="2"/>
  <c r="K580" i="2"/>
  <c r="Q580" i="2" s="1"/>
  <c r="P579" i="2"/>
  <c r="O579" i="2"/>
  <c r="N579" i="2"/>
  <c r="M579" i="2"/>
  <c r="L579" i="2"/>
  <c r="K579" i="2"/>
  <c r="P578" i="2"/>
  <c r="O578" i="2"/>
  <c r="N578" i="2"/>
  <c r="M578" i="2"/>
  <c r="L578" i="2"/>
  <c r="K578" i="2"/>
  <c r="Q578" i="2" s="1"/>
  <c r="P577" i="2"/>
  <c r="O577" i="2"/>
  <c r="N577" i="2"/>
  <c r="M577" i="2"/>
  <c r="L577" i="2"/>
  <c r="K577" i="2"/>
  <c r="P576" i="2"/>
  <c r="O576" i="2"/>
  <c r="N576" i="2"/>
  <c r="M576" i="2"/>
  <c r="L576" i="2"/>
  <c r="K576" i="2"/>
  <c r="Q576" i="2" s="1"/>
  <c r="P575" i="2"/>
  <c r="O575" i="2"/>
  <c r="N575" i="2"/>
  <c r="M575" i="2"/>
  <c r="L575" i="2"/>
  <c r="K575" i="2"/>
  <c r="P574" i="2"/>
  <c r="O574" i="2"/>
  <c r="N574" i="2"/>
  <c r="M574" i="2"/>
  <c r="L574" i="2"/>
  <c r="K574" i="2"/>
  <c r="P573" i="2"/>
  <c r="O573" i="2"/>
  <c r="N573" i="2"/>
  <c r="M573" i="2"/>
  <c r="L573" i="2"/>
  <c r="K573" i="2"/>
  <c r="P572" i="2"/>
  <c r="O572" i="2"/>
  <c r="N572" i="2"/>
  <c r="M572" i="2"/>
  <c r="L572" i="2"/>
  <c r="K572" i="2"/>
  <c r="Q572" i="2" s="1"/>
  <c r="P571" i="2"/>
  <c r="O571" i="2"/>
  <c r="N571" i="2"/>
  <c r="M571" i="2"/>
  <c r="L571" i="2"/>
  <c r="K571" i="2"/>
  <c r="P570" i="2"/>
  <c r="O570" i="2"/>
  <c r="N570" i="2"/>
  <c r="M570" i="2"/>
  <c r="L570" i="2"/>
  <c r="K570" i="2"/>
  <c r="Q570" i="2" s="1"/>
  <c r="P569" i="2"/>
  <c r="O569" i="2"/>
  <c r="N569" i="2"/>
  <c r="M569" i="2"/>
  <c r="L569" i="2"/>
  <c r="K569" i="2"/>
  <c r="P568" i="2"/>
  <c r="O568" i="2"/>
  <c r="N568" i="2"/>
  <c r="M568" i="2"/>
  <c r="L568" i="2"/>
  <c r="K568" i="2"/>
  <c r="P567" i="2"/>
  <c r="O567" i="2"/>
  <c r="N567" i="2"/>
  <c r="M567" i="2"/>
  <c r="L567" i="2"/>
  <c r="K567" i="2"/>
  <c r="R567" i="2" s="1"/>
  <c r="P566" i="2"/>
  <c r="O566" i="2"/>
  <c r="N566" i="2"/>
  <c r="M566" i="2"/>
  <c r="L566" i="2"/>
  <c r="K566" i="2"/>
  <c r="P565" i="2"/>
  <c r="O565" i="2"/>
  <c r="N565" i="2"/>
  <c r="M565" i="2"/>
  <c r="L565" i="2"/>
  <c r="K565" i="2"/>
  <c r="P564" i="2"/>
  <c r="O564" i="2"/>
  <c r="N564" i="2"/>
  <c r="M564" i="2"/>
  <c r="L564" i="2"/>
  <c r="K564" i="2"/>
  <c r="P563" i="2"/>
  <c r="O563" i="2"/>
  <c r="N563" i="2"/>
  <c r="M563" i="2"/>
  <c r="L563" i="2"/>
  <c r="K563" i="2"/>
  <c r="R563" i="2" s="1"/>
  <c r="P562" i="2"/>
  <c r="O562" i="2"/>
  <c r="N562" i="2"/>
  <c r="M562" i="2"/>
  <c r="L562" i="2"/>
  <c r="K562" i="2"/>
  <c r="Q562" i="2" s="1"/>
  <c r="P561" i="2"/>
  <c r="O561" i="2"/>
  <c r="N561" i="2"/>
  <c r="M561" i="2"/>
  <c r="L561" i="2"/>
  <c r="K561" i="2"/>
  <c r="Q561" i="2" s="1"/>
  <c r="P560" i="2"/>
  <c r="O560" i="2"/>
  <c r="N560" i="2"/>
  <c r="M560" i="2"/>
  <c r="L560" i="2"/>
  <c r="K560" i="2"/>
  <c r="Q560" i="2" s="1"/>
  <c r="P559" i="2"/>
  <c r="O559" i="2"/>
  <c r="N559" i="2"/>
  <c r="M559" i="2"/>
  <c r="L559" i="2"/>
  <c r="K559" i="2"/>
  <c r="P558" i="2"/>
  <c r="O558" i="2"/>
  <c r="N558" i="2"/>
  <c r="M558" i="2"/>
  <c r="L558" i="2"/>
  <c r="K558" i="2"/>
  <c r="P557" i="2"/>
  <c r="O557" i="2"/>
  <c r="N557" i="2"/>
  <c r="M557" i="2"/>
  <c r="L557" i="2"/>
  <c r="K557" i="2"/>
  <c r="P556" i="2"/>
  <c r="O556" i="2"/>
  <c r="N556" i="2"/>
  <c r="M556" i="2"/>
  <c r="L556" i="2"/>
  <c r="K556" i="2"/>
  <c r="Q556" i="2" s="1"/>
  <c r="P555" i="2"/>
  <c r="O555" i="2"/>
  <c r="N555" i="2"/>
  <c r="M555" i="2"/>
  <c r="L555" i="2"/>
  <c r="K555" i="2"/>
  <c r="P554" i="2"/>
  <c r="O554" i="2"/>
  <c r="N554" i="2"/>
  <c r="M554" i="2"/>
  <c r="L554" i="2"/>
  <c r="K554" i="2"/>
  <c r="P553" i="2"/>
  <c r="O553" i="2"/>
  <c r="N553" i="2"/>
  <c r="M553" i="2"/>
  <c r="L553" i="2"/>
  <c r="K553" i="2"/>
  <c r="P552" i="2"/>
  <c r="O552" i="2"/>
  <c r="N552" i="2"/>
  <c r="M552" i="2"/>
  <c r="L552" i="2"/>
  <c r="K552" i="2"/>
  <c r="Q552" i="2" s="1"/>
  <c r="P551" i="2"/>
  <c r="O551" i="2"/>
  <c r="N551" i="2"/>
  <c r="M551" i="2"/>
  <c r="L551" i="2"/>
  <c r="K551" i="2"/>
  <c r="P550" i="2"/>
  <c r="O550" i="2"/>
  <c r="N550" i="2"/>
  <c r="M550" i="2"/>
  <c r="L550" i="2"/>
  <c r="K550" i="2"/>
  <c r="P549" i="2"/>
  <c r="O549" i="2"/>
  <c r="N549" i="2"/>
  <c r="M549" i="2"/>
  <c r="L549" i="2"/>
  <c r="K549" i="2"/>
  <c r="P548" i="2"/>
  <c r="O548" i="2"/>
  <c r="N548" i="2"/>
  <c r="M548" i="2"/>
  <c r="L548" i="2"/>
  <c r="K548" i="2"/>
  <c r="P547" i="2"/>
  <c r="O547" i="2"/>
  <c r="N547" i="2"/>
  <c r="M547" i="2"/>
  <c r="L547" i="2"/>
  <c r="K547" i="2"/>
  <c r="Q547" i="2" s="1"/>
  <c r="P546" i="2"/>
  <c r="O546" i="2"/>
  <c r="N546" i="2"/>
  <c r="M546" i="2"/>
  <c r="L546" i="2"/>
  <c r="K546" i="2"/>
  <c r="Q546" i="2" s="1"/>
  <c r="P545" i="2"/>
  <c r="O545" i="2"/>
  <c r="N545" i="2"/>
  <c r="M545" i="2"/>
  <c r="L545" i="2"/>
  <c r="K545" i="2"/>
  <c r="R545" i="2" s="1"/>
  <c r="P544" i="2"/>
  <c r="O544" i="2"/>
  <c r="N544" i="2"/>
  <c r="M544" i="2"/>
  <c r="L544" i="2"/>
  <c r="K544" i="2"/>
  <c r="P543" i="2"/>
  <c r="O543" i="2"/>
  <c r="N543" i="2"/>
  <c r="M543" i="2"/>
  <c r="L543" i="2"/>
  <c r="K543" i="2"/>
  <c r="Q543" i="2" s="1"/>
  <c r="P542" i="2"/>
  <c r="O542" i="2"/>
  <c r="N542" i="2"/>
  <c r="M542" i="2"/>
  <c r="L542" i="2"/>
  <c r="K542" i="2"/>
  <c r="R542" i="2" s="1"/>
  <c r="P541" i="2"/>
  <c r="O541" i="2"/>
  <c r="N541" i="2"/>
  <c r="M541" i="2"/>
  <c r="L541" i="2"/>
  <c r="K541" i="2"/>
  <c r="R541" i="2" s="1"/>
  <c r="P540" i="2"/>
  <c r="O540" i="2"/>
  <c r="N540" i="2"/>
  <c r="M540" i="2"/>
  <c r="L540" i="2"/>
  <c r="K540" i="2"/>
  <c r="R540" i="2" s="1"/>
  <c r="P539" i="2"/>
  <c r="O539" i="2"/>
  <c r="N539" i="2"/>
  <c r="M539" i="2"/>
  <c r="L539" i="2"/>
  <c r="K539" i="2"/>
  <c r="R539" i="2" s="1"/>
  <c r="P538" i="2"/>
  <c r="O538" i="2"/>
  <c r="N538" i="2"/>
  <c r="M538" i="2"/>
  <c r="L538" i="2"/>
  <c r="K538" i="2"/>
  <c r="R538" i="2" s="1"/>
  <c r="P537" i="2"/>
  <c r="O537" i="2"/>
  <c r="N537" i="2"/>
  <c r="M537" i="2"/>
  <c r="L537" i="2"/>
  <c r="K537" i="2"/>
  <c r="R537" i="2" s="1"/>
  <c r="P536" i="2"/>
  <c r="O536" i="2"/>
  <c r="N536" i="2"/>
  <c r="M536" i="2"/>
  <c r="L536" i="2"/>
  <c r="K536" i="2"/>
  <c r="P535" i="2"/>
  <c r="O535" i="2"/>
  <c r="N535" i="2"/>
  <c r="M535" i="2"/>
  <c r="L535" i="2"/>
  <c r="K535" i="2"/>
  <c r="P534" i="2"/>
  <c r="O534" i="2"/>
  <c r="N534" i="2"/>
  <c r="M534" i="2"/>
  <c r="L534" i="2"/>
  <c r="K534" i="2"/>
  <c r="P533" i="2"/>
  <c r="O533" i="2"/>
  <c r="N533" i="2"/>
  <c r="M533" i="2"/>
  <c r="L533" i="2"/>
  <c r="K533" i="2"/>
  <c r="P532" i="2"/>
  <c r="O532" i="2"/>
  <c r="N532" i="2"/>
  <c r="M532" i="2"/>
  <c r="L532" i="2"/>
  <c r="K532" i="2"/>
  <c r="R532" i="2" s="1"/>
  <c r="P531" i="2"/>
  <c r="O531" i="2"/>
  <c r="N531" i="2"/>
  <c r="M531" i="2"/>
  <c r="L531" i="2"/>
  <c r="K531" i="2"/>
  <c r="Q531" i="2" s="1"/>
  <c r="P530" i="2"/>
  <c r="O530" i="2"/>
  <c r="N530" i="2"/>
  <c r="M530" i="2"/>
  <c r="L530" i="2"/>
  <c r="K530" i="2"/>
  <c r="R530" i="2" s="1"/>
  <c r="P529" i="2"/>
  <c r="O529" i="2"/>
  <c r="N529" i="2"/>
  <c r="M529" i="2"/>
  <c r="L529" i="2"/>
  <c r="K529" i="2"/>
  <c r="Q529" i="2" s="1"/>
  <c r="P528" i="2"/>
  <c r="O528" i="2"/>
  <c r="N528" i="2"/>
  <c r="M528" i="2"/>
  <c r="L528" i="2"/>
  <c r="K528" i="2"/>
  <c r="P527" i="2"/>
  <c r="O527" i="2"/>
  <c r="N527" i="2"/>
  <c r="M527" i="2"/>
  <c r="L527" i="2"/>
  <c r="K527" i="2"/>
  <c r="Q527" i="2" s="1"/>
  <c r="P526" i="2"/>
  <c r="O526" i="2"/>
  <c r="N526" i="2"/>
  <c r="M526" i="2"/>
  <c r="L526" i="2"/>
  <c r="K526" i="2"/>
  <c r="P525" i="2"/>
  <c r="O525" i="2"/>
  <c r="N525" i="2"/>
  <c r="M525" i="2"/>
  <c r="L525" i="2"/>
  <c r="K525" i="2"/>
  <c r="R525" i="2" s="1"/>
  <c r="P524" i="2"/>
  <c r="O524" i="2"/>
  <c r="N524" i="2"/>
  <c r="M524" i="2"/>
  <c r="L524" i="2"/>
  <c r="K524" i="2"/>
  <c r="P523" i="2"/>
  <c r="O523" i="2"/>
  <c r="N523" i="2"/>
  <c r="M523" i="2"/>
  <c r="L523" i="2"/>
  <c r="K523" i="2"/>
  <c r="R523" i="2" s="1"/>
  <c r="P522" i="2"/>
  <c r="O522" i="2"/>
  <c r="N522" i="2"/>
  <c r="M522" i="2"/>
  <c r="L522" i="2"/>
  <c r="K522" i="2"/>
  <c r="R522" i="2" s="1"/>
  <c r="P521" i="2"/>
  <c r="O521" i="2"/>
  <c r="N521" i="2"/>
  <c r="M521" i="2"/>
  <c r="L521" i="2"/>
  <c r="K521" i="2"/>
  <c r="R521" i="2" s="1"/>
  <c r="P520" i="2"/>
  <c r="O520" i="2"/>
  <c r="N520" i="2"/>
  <c r="M520" i="2"/>
  <c r="L520" i="2"/>
  <c r="K520" i="2"/>
  <c r="R520" i="2" s="1"/>
  <c r="P519" i="2"/>
  <c r="O519" i="2"/>
  <c r="N519" i="2"/>
  <c r="M519" i="2"/>
  <c r="L519" i="2"/>
  <c r="K519" i="2"/>
  <c r="P518" i="2"/>
  <c r="O518" i="2"/>
  <c r="N518" i="2"/>
  <c r="M518" i="2"/>
  <c r="L518" i="2"/>
  <c r="K518" i="2"/>
  <c r="R518" i="2" s="1"/>
  <c r="P517" i="2"/>
  <c r="O517" i="2"/>
  <c r="N517" i="2"/>
  <c r="M517" i="2"/>
  <c r="L517" i="2"/>
  <c r="K517" i="2"/>
  <c r="P516" i="2"/>
  <c r="O516" i="2"/>
  <c r="N516" i="2"/>
  <c r="M516" i="2"/>
  <c r="L516" i="2"/>
  <c r="K516" i="2"/>
  <c r="P515" i="2"/>
  <c r="O515" i="2"/>
  <c r="N515" i="2"/>
  <c r="M515" i="2"/>
  <c r="L515" i="2"/>
  <c r="K515" i="2"/>
  <c r="P514" i="2"/>
  <c r="O514" i="2"/>
  <c r="N514" i="2"/>
  <c r="M514" i="2"/>
  <c r="L514" i="2"/>
  <c r="K514" i="2"/>
  <c r="P513" i="2"/>
  <c r="O513" i="2"/>
  <c r="N513" i="2"/>
  <c r="M513" i="2"/>
  <c r="L513" i="2"/>
  <c r="K513" i="2"/>
  <c r="P512" i="2"/>
  <c r="O512" i="2"/>
  <c r="N512" i="2"/>
  <c r="M512" i="2"/>
  <c r="L512" i="2"/>
  <c r="K512" i="2"/>
  <c r="R512" i="2" s="1"/>
  <c r="P511" i="2"/>
  <c r="O511" i="2"/>
  <c r="N511" i="2"/>
  <c r="M511" i="2"/>
  <c r="L511" i="2"/>
  <c r="K511" i="2"/>
  <c r="Q511" i="2" s="1"/>
  <c r="P510" i="2"/>
  <c r="O510" i="2"/>
  <c r="N510" i="2"/>
  <c r="M510" i="2"/>
  <c r="L510" i="2"/>
  <c r="K510" i="2"/>
  <c r="P509" i="2"/>
  <c r="O509" i="2"/>
  <c r="N509" i="2"/>
  <c r="M509" i="2"/>
  <c r="L509" i="2"/>
  <c r="K509" i="2"/>
  <c r="R509" i="2" s="1"/>
  <c r="P508" i="2"/>
  <c r="O508" i="2"/>
  <c r="N508" i="2"/>
  <c r="M508" i="2"/>
  <c r="L508" i="2"/>
  <c r="K508" i="2"/>
  <c r="P507" i="2"/>
  <c r="O507" i="2"/>
  <c r="N507" i="2"/>
  <c r="M507" i="2"/>
  <c r="L507" i="2"/>
  <c r="K507" i="2"/>
  <c r="R507" i="2" s="1"/>
  <c r="P506" i="2"/>
  <c r="O506" i="2"/>
  <c r="N506" i="2"/>
  <c r="M506" i="2"/>
  <c r="L506" i="2"/>
  <c r="K506" i="2"/>
  <c r="P505" i="2"/>
  <c r="O505" i="2"/>
  <c r="N505" i="2"/>
  <c r="M505" i="2"/>
  <c r="L505" i="2"/>
  <c r="K505" i="2"/>
  <c r="R505" i="2" s="1"/>
  <c r="P504" i="2"/>
  <c r="O504" i="2"/>
  <c r="N504" i="2"/>
  <c r="M504" i="2"/>
  <c r="L504" i="2"/>
  <c r="K504" i="2"/>
  <c r="P503" i="2"/>
  <c r="O503" i="2"/>
  <c r="N503" i="2"/>
  <c r="M503" i="2"/>
  <c r="L503" i="2"/>
  <c r="K503" i="2"/>
  <c r="R503" i="2" s="1"/>
  <c r="P502" i="2"/>
  <c r="O502" i="2"/>
  <c r="N502" i="2"/>
  <c r="M502" i="2"/>
  <c r="L502" i="2"/>
  <c r="K502" i="2"/>
  <c r="P501" i="2"/>
  <c r="O501" i="2"/>
  <c r="N501" i="2"/>
  <c r="M501" i="2"/>
  <c r="L501" i="2"/>
  <c r="K501" i="2"/>
  <c r="P500" i="2"/>
  <c r="O500" i="2"/>
  <c r="N500" i="2"/>
  <c r="M500" i="2"/>
  <c r="L500" i="2"/>
  <c r="K500" i="2"/>
  <c r="R500" i="2" s="1"/>
  <c r="P499" i="2"/>
  <c r="O499" i="2"/>
  <c r="N499" i="2"/>
  <c r="M499" i="2"/>
  <c r="L499" i="2"/>
  <c r="K499" i="2"/>
  <c r="R499" i="2" s="1"/>
  <c r="P498" i="2"/>
  <c r="O498" i="2"/>
  <c r="N498" i="2"/>
  <c r="M498" i="2"/>
  <c r="L498" i="2"/>
  <c r="K498" i="2"/>
  <c r="R498" i="2" s="1"/>
  <c r="P497" i="2"/>
  <c r="O497" i="2"/>
  <c r="N497" i="2"/>
  <c r="M497" i="2"/>
  <c r="L497" i="2"/>
  <c r="K497" i="2"/>
  <c r="P496" i="2"/>
  <c r="O496" i="2"/>
  <c r="N496" i="2"/>
  <c r="M496" i="2"/>
  <c r="L496" i="2"/>
  <c r="K496" i="2"/>
  <c r="P495" i="2"/>
  <c r="O495" i="2"/>
  <c r="N495" i="2"/>
  <c r="M495" i="2"/>
  <c r="L495" i="2"/>
  <c r="K495" i="2"/>
  <c r="P494" i="2"/>
  <c r="O494" i="2"/>
  <c r="N494" i="2"/>
  <c r="M494" i="2"/>
  <c r="L494" i="2"/>
  <c r="K494" i="2"/>
  <c r="R494" i="2" s="1"/>
  <c r="P493" i="2"/>
  <c r="O493" i="2"/>
  <c r="N493" i="2"/>
  <c r="M493" i="2"/>
  <c r="L493" i="2"/>
  <c r="K493" i="2"/>
  <c r="P492" i="2"/>
  <c r="O492" i="2"/>
  <c r="N492" i="2"/>
  <c r="M492" i="2"/>
  <c r="L492" i="2"/>
  <c r="K492" i="2"/>
  <c r="R492" i="2" s="1"/>
  <c r="P491" i="2"/>
  <c r="O491" i="2"/>
  <c r="N491" i="2"/>
  <c r="M491" i="2"/>
  <c r="L491" i="2"/>
  <c r="K491" i="2"/>
  <c r="P490" i="2"/>
  <c r="O490" i="2"/>
  <c r="N490" i="2"/>
  <c r="M490" i="2"/>
  <c r="L490" i="2"/>
  <c r="K490" i="2"/>
  <c r="R490" i="2" s="1"/>
  <c r="P489" i="2"/>
  <c r="O489" i="2"/>
  <c r="N489" i="2"/>
  <c r="M489" i="2"/>
  <c r="L489" i="2"/>
  <c r="K489" i="2"/>
  <c r="R489" i="2" s="1"/>
  <c r="P488" i="2"/>
  <c r="O488" i="2"/>
  <c r="N488" i="2"/>
  <c r="M488" i="2"/>
  <c r="L488" i="2"/>
  <c r="K488" i="2"/>
  <c r="R488" i="2" s="1"/>
  <c r="P487" i="2"/>
  <c r="O487" i="2"/>
  <c r="N487" i="2"/>
  <c r="M487" i="2"/>
  <c r="L487" i="2"/>
  <c r="K487" i="2"/>
  <c r="P486" i="2"/>
  <c r="O486" i="2"/>
  <c r="N486" i="2"/>
  <c r="M486" i="2"/>
  <c r="L486" i="2"/>
  <c r="K486" i="2"/>
  <c r="P485" i="2"/>
  <c r="O485" i="2"/>
  <c r="N485" i="2"/>
  <c r="M485" i="2"/>
  <c r="L485" i="2"/>
  <c r="K485" i="2"/>
  <c r="Q485" i="2" s="1"/>
  <c r="P484" i="2"/>
  <c r="O484" i="2"/>
  <c r="N484" i="2"/>
  <c r="M484" i="2"/>
  <c r="L484" i="2"/>
  <c r="K484" i="2"/>
  <c r="R484" i="2" s="1"/>
  <c r="P483" i="2"/>
  <c r="O483" i="2"/>
  <c r="N483" i="2"/>
  <c r="M483" i="2"/>
  <c r="L483" i="2"/>
  <c r="K483" i="2"/>
  <c r="P482" i="2"/>
  <c r="O482" i="2"/>
  <c r="N482" i="2"/>
  <c r="M482" i="2"/>
  <c r="L482" i="2"/>
  <c r="K482" i="2"/>
  <c r="P481" i="2"/>
  <c r="O481" i="2"/>
  <c r="N481" i="2"/>
  <c r="M481" i="2"/>
  <c r="L481" i="2"/>
  <c r="K481" i="2"/>
  <c r="P480" i="2"/>
  <c r="O480" i="2"/>
  <c r="N480" i="2"/>
  <c r="M480" i="2"/>
  <c r="L480" i="2"/>
  <c r="K480" i="2"/>
  <c r="R480" i="2" s="1"/>
  <c r="P479" i="2"/>
  <c r="O479" i="2"/>
  <c r="N479" i="2"/>
  <c r="M479" i="2"/>
  <c r="L479" i="2"/>
  <c r="K479" i="2"/>
  <c r="P478" i="2"/>
  <c r="O478" i="2"/>
  <c r="N478" i="2"/>
  <c r="M478" i="2"/>
  <c r="L478" i="2"/>
  <c r="K478" i="2"/>
  <c r="R478" i="2" s="1"/>
  <c r="P477" i="2"/>
  <c r="O477" i="2"/>
  <c r="N477" i="2"/>
  <c r="M477" i="2"/>
  <c r="L477" i="2"/>
  <c r="K477" i="2"/>
  <c r="P476" i="2"/>
  <c r="O476" i="2"/>
  <c r="N476" i="2"/>
  <c r="M476" i="2"/>
  <c r="L476" i="2"/>
  <c r="K476" i="2"/>
  <c r="P475" i="2"/>
  <c r="O475" i="2"/>
  <c r="N475" i="2"/>
  <c r="M475" i="2"/>
  <c r="L475" i="2"/>
  <c r="K475" i="2"/>
  <c r="R475" i="2" s="1"/>
  <c r="P474" i="2"/>
  <c r="O474" i="2"/>
  <c r="N474" i="2"/>
  <c r="M474" i="2"/>
  <c r="L474" i="2"/>
  <c r="K474" i="2"/>
  <c r="P473" i="2"/>
  <c r="O473" i="2"/>
  <c r="N473" i="2"/>
  <c r="M473" i="2"/>
  <c r="L473" i="2"/>
  <c r="K473" i="2"/>
  <c r="R473" i="2" s="1"/>
  <c r="P472" i="2"/>
  <c r="O472" i="2"/>
  <c r="N472" i="2"/>
  <c r="M472" i="2"/>
  <c r="L472" i="2"/>
  <c r="K472" i="2"/>
  <c r="P471" i="2"/>
  <c r="O471" i="2"/>
  <c r="N471" i="2"/>
  <c r="M471" i="2"/>
  <c r="L471" i="2"/>
  <c r="K471" i="2"/>
  <c r="R471" i="2" s="1"/>
  <c r="P470" i="2"/>
  <c r="O470" i="2"/>
  <c r="N470" i="2"/>
  <c r="M470" i="2"/>
  <c r="L470" i="2"/>
  <c r="K470" i="2"/>
  <c r="P469" i="2"/>
  <c r="O469" i="2"/>
  <c r="N469" i="2"/>
  <c r="M469" i="2"/>
  <c r="L469" i="2"/>
  <c r="K469" i="2"/>
  <c r="Q469" i="2" s="1"/>
  <c r="P468" i="2"/>
  <c r="O468" i="2"/>
  <c r="N468" i="2"/>
  <c r="M468" i="2"/>
  <c r="L468" i="2"/>
  <c r="K468" i="2"/>
  <c r="P467" i="2"/>
  <c r="O467" i="2"/>
  <c r="N467" i="2"/>
  <c r="M467" i="2"/>
  <c r="L467" i="2"/>
  <c r="K467" i="2"/>
  <c r="P466" i="2"/>
  <c r="O466" i="2"/>
  <c r="N466" i="2"/>
  <c r="M466" i="2"/>
  <c r="L466" i="2"/>
  <c r="K466" i="2"/>
  <c r="P465" i="2"/>
  <c r="O465" i="2"/>
  <c r="N465" i="2"/>
  <c r="M465" i="2"/>
  <c r="L465" i="2"/>
  <c r="K465" i="2"/>
  <c r="P464" i="2"/>
  <c r="O464" i="2"/>
  <c r="N464" i="2"/>
  <c r="M464" i="2"/>
  <c r="L464" i="2"/>
  <c r="K464" i="2"/>
  <c r="P463" i="2"/>
  <c r="O463" i="2"/>
  <c r="N463" i="2"/>
  <c r="M463" i="2"/>
  <c r="L463" i="2"/>
  <c r="K463" i="2"/>
  <c r="Q463" i="2" s="1"/>
  <c r="P462" i="2"/>
  <c r="O462" i="2"/>
  <c r="N462" i="2"/>
  <c r="M462" i="2"/>
  <c r="L462" i="2"/>
  <c r="K462" i="2"/>
  <c r="Q462" i="2" s="1"/>
  <c r="P461" i="2"/>
  <c r="O461" i="2"/>
  <c r="N461" i="2"/>
  <c r="M461" i="2"/>
  <c r="L461" i="2"/>
  <c r="K461" i="2"/>
  <c r="Q461" i="2" s="1"/>
  <c r="P460" i="2"/>
  <c r="O460" i="2"/>
  <c r="N460" i="2"/>
  <c r="M460" i="2"/>
  <c r="L460" i="2"/>
  <c r="K460" i="2"/>
  <c r="P459" i="2"/>
  <c r="O459" i="2"/>
  <c r="N459" i="2"/>
  <c r="M459" i="2"/>
  <c r="L459" i="2"/>
  <c r="K459" i="2"/>
  <c r="P458" i="2"/>
  <c r="O458" i="2"/>
  <c r="N458" i="2"/>
  <c r="M458" i="2"/>
  <c r="L458" i="2"/>
  <c r="K458" i="2"/>
  <c r="R458" i="2" s="1"/>
  <c r="P457" i="2"/>
  <c r="O457" i="2"/>
  <c r="N457" i="2"/>
  <c r="M457" i="2"/>
  <c r="L457" i="2"/>
  <c r="K457" i="2"/>
  <c r="Q457" i="2" s="1"/>
  <c r="P456" i="2"/>
  <c r="O456" i="2"/>
  <c r="N456" i="2"/>
  <c r="M456" i="2"/>
  <c r="L456" i="2"/>
  <c r="K456" i="2"/>
  <c r="R456" i="2" s="1"/>
  <c r="P455" i="2"/>
  <c r="O455" i="2"/>
  <c r="N455" i="2"/>
  <c r="M455" i="2"/>
  <c r="L455" i="2"/>
  <c r="K455" i="2"/>
  <c r="P454" i="2"/>
  <c r="O454" i="2"/>
  <c r="N454" i="2"/>
  <c r="M454" i="2"/>
  <c r="L454" i="2"/>
  <c r="K454" i="2"/>
  <c r="R454" i="2" s="1"/>
  <c r="P453" i="2"/>
  <c r="O453" i="2"/>
  <c r="N453" i="2"/>
  <c r="M453" i="2"/>
  <c r="L453" i="2"/>
  <c r="K453" i="2"/>
  <c r="P452" i="2"/>
  <c r="O452" i="2"/>
  <c r="N452" i="2"/>
  <c r="M452" i="2"/>
  <c r="L452" i="2"/>
  <c r="K452" i="2"/>
  <c r="R452" i="2" s="1"/>
  <c r="P451" i="2"/>
  <c r="O451" i="2"/>
  <c r="N451" i="2"/>
  <c r="M451" i="2"/>
  <c r="L451" i="2"/>
  <c r="K451" i="2"/>
  <c r="Q451" i="2" s="1"/>
  <c r="P450" i="2"/>
  <c r="O450" i="2"/>
  <c r="N450" i="2"/>
  <c r="M450" i="2"/>
  <c r="L450" i="2"/>
  <c r="K450" i="2"/>
  <c r="P449" i="2"/>
  <c r="O449" i="2"/>
  <c r="N449" i="2"/>
  <c r="M449" i="2"/>
  <c r="L449" i="2"/>
  <c r="K449" i="2"/>
  <c r="R449" i="2" s="1"/>
  <c r="P448" i="2"/>
  <c r="O448" i="2"/>
  <c r="N448" i="2"/>
  <c r="M448" i="2"/>
  <c r="L448" i="2"/>
  <c r="K448" i="2"/>
  <c r="P447" i="2"/>
  <c r="O447" i="2"/>
  <c r="N447" i="2"/>
  <c r="M447" i="2"/>
  <c r="L447" i="2"/>
  <c r="K447" i="2"/>
  <c r="Q447" i="2" s="1"/>
  <c r="P446" i="2"/>
  <c r="O446" i="2"/>
  <c r="N446" i="2"/>
  <c r="M446" i="2"/>
  <c r="L446" i="2"/>
  <c r="K446" i="2"/>
  <c r="P445" i="2"/>
  <c r="O445" i="2"/>
  <c r="N445" i="2"/>
  <c r="M445" i="2"/>
  <c r="L445" i="2"/>
  <c r="K445" i="2"/>
  <c r="R445" i="2" s="1"/>
  <c r="P444" i="2"/>
  <c r="O444" i="2"/>
  <c r="N444" i="2"/>
  <c r="M444" i="2"/>
  <c r="L444" i="2"/>
  <c r="K444" i="2"/>
  <c r="P443" i="2"/>
  <c r="O443" i="2"/>
  <c r="N443" i="2"/>
  <c r="M443" i="2"/>
  <c r="L443" i="2"/>
  <c r="K443" i="2"/>
  <c r="Q443" i="2" s="1"/>
  <c r="P442" i="2"/>
  <c r="O442" i="2"/>
  <c r="N442" i="2"/>
  <c r="M442" i="2"/>
  <c r="L442" i="2"/>
  <c r="K442" i="2"/>
  <c r="P441" i="2"/>
  <c r="O441" i="2"/>
  <c r="N441" i="2"/>
  <c r="M441" i="2"/>
  <c r="L441" i="2"/>
  <c r="K441" i="2"/>
  <c r="R441" i="2" s="1"/>
  <c r="P440" i="2"/>
  <c r="O440" i="2"/>
  <c r="N440" i="2"/>
  <c r="M440" i="2"/>
  <c r="L440" i="2"/>
  <c r="K440" i="2"/>
  <c r="P439" i="2"/>
  <c r="O439" i="2"/>
  <c r="N439" i="2"/>
  <c r="M439" i="2"/>
  <c r="L439" i="2"/>
  <c r="K439" i="2"/>
  <c r="Q439" i="2" s="1"/>
  <c r="P438" i="2"/>
  <c r="O438" i="2"/>
  <c r="N438" i="2"/>
  <c r="M438" i="2"/>
  <c r="L438" i="2"/>
  <c r="K438" i="2"/>
  <c r="P437" i="2"/>
  <c r="O437" i="2"/>
  <c r="N437" i="2"/>
  <c r="M437" i="2"/>
  <c r="L437" i="2"/>
  <c r="K437" i="2"/>
  <c r="R437" i="2" s="1"/>
  <c r="P436" i="2"/>
  <c r="O436" i="2"/>
  <c r="N436" i="2"/>
  <c r="M436" i="2"/>
  <c r="L436" i="2"/>
  <c r="K436" i="2"/>
  <c r="P435" i="2"/>
  <c r="O435" i="2"/>
  <c r="N435" i="2"/>
  <c r="M435" i="2"/>
  <c r="L435" i="2"/>
  <c r="K435" i="2"/>
  <c r="Q435" i="2" s="1"/>
  <c r="P434" i="2"/>
  <c r="O434" i="2"/>
  <c r="N434" i="2"/>
  <c r="M434" i="2"/>
  <c r="L434" i="2"/>
  <c r="K434" i="2"/>
  <c r="P433" i="2"/>
  <c r="O433" i="2"/>
  <c r="N433" i="2"/>
  <c r="M433" i="2"/>
  <c r="L433" i="2"/>
  <c r="K433" i="2"/>
  <c r="P432" i="2"/>
  <c r="O432" i="2"/>
  <c r="N432" i="2"/>
  <c r="M432" i="2"/>
  <c r="L432" i="2"/>
  <c r="K432" i="2"/>
  <c r="P431" i="2"/>
  <c r="O431" i="2"/>
  <c r="N431" i="2"/>
  <c r="M431" i="2"/>
  <c r="L431" i="2"/>
  <c r="K431" i="2"/>
  <c r="P430" i="2"/>
  <c r="O430" i="2"/>
  <c r="N430" i="2"/>
  <c r="M430" i="2"/>
  <c r="L430" i="2"/>
  <c r="K430" i="2"/>
  <c r="P429" i="2"/>
  <c r="O429" i="2"/>
  <c r="N429" i="2"/>
  <c r="M429" i="2"/>
  <c r="L429" i="2"/>
  <c r="K429" i="2"/>
  <c r="R429" i="2" s="1"/>
  <c r="P428" i="2"/>
  <c r="O428" i="2"/>
  <c r="N428" i="2"/>
  <c r="M428" i="2"/>
  <c r="L428" i="2"/>
  <c r="K428" i="2"/>
  <c r="P427" i="2"/>
  <c r="O427" i="2"/>
  <c r="N427" i="2"/>
  <c r="M427" i="2"/>
  <c r="L427" i="2"/>
  <c r="K427" i="2"/>
  <c r="P426" i="2"/>
  <c r="O426" i="2"/>
  <c r="N426" i="2"/>
  <c r="M426" i="2"/>
  <c r="L426" i="2"/>
  <c r="K426" i="2"/>
  <c r="P425" i="2"/>
  <c r="O425" i="2"/>
  <c r="N425" i="2"/>
  <c r="M425" i="2"/>
  <c r="L425" i="2"/>
  <c r="K425" i="2"/>
  <c r="Q425" i="2" s="1"/>
  <c r="P424" i="2"/>
  <c r="O424" i="2"/>
  <c r="N424" i="2"/>
  <c r="M424" i="2"/>
  <c r="L424" i="2"/>
  <c r="K424" i="2"/>
  <c r="P423" i="2"/>
  <c r="O423" i="2"/>
  <c r="N423" i="2"/>
  <c r="M423" i="2"/>
  <c r="L423" i="2"/>
  <c r="K423" i="2"/>
  <c r="P422" i="2"/>
  <c r="O422" i="2"/>
  <c r="N422" i="2"/>
  <c r="M422" i="2"/>
  <c r="L422" i="2"/>
  <c r="K422" i="2"/>
  <c r="R422" i="2" s="1"/>
  <c r="P421" i="2"/>
  <c r="O421" i="2"/>
  <c r="N421" i="2"/>
  <c r="M421" i="2"/>
  <c r="L421" i="2"/>
  <c r="K421" i="2"/>
  <c r="Q421" i="2" s="1"/>
  <c r="P420" i="2"/>
  <c r="O420" i="2"/>
  <c r="N420" i="2"/>
  <c r="M420" i="2"/>
  <c r="L420" i="2"/>
  <c r="K420" i="2"/>
  <c r="Q420" i="2" s="1"/>
  <c r="P419" i="2"/>
  <c r="O419" i="2"/>
  <c r="N419" i="2"/>
  <c r="M419" i="2"/>
  <c r="L419" i="2"/>
  <c r="K419" i="2"/>
  <c r="P418" i="2"/>
  <c r="O418" i="2"/>
  <c r="N418" i="2"/>
  <c r="M418" i="2"/>
  <c r="L418" i="2"/>
  <c r="K418" i="2"/>
  <c r="R418" i="2" s="1"/>
  <c r="P417" i="2"/>
  <c r="O417" i="2"/>
  <c r="N417" i="2"/>
  <c r="M417" i="2"/>
  <c r="L417" i="2"/>
  <c r="K417" i="2"/>
  <c r="Q417" i="2" s="1"/>
  <c r="P416" i="2"/>
  <c r="O416" i="2"/>
  <c r="N416" i="2"/>
  <c r="M416" i="2"/>
  <c r="L416" i="2"/>
  <c r="K416" i="2"/>
  <c r="R416" i="2" s="1"/>
  <c r="P415" i="2"/>
  <c r="O415" i="2"/>
  <c r="N415" i="2"/>
  <c r="M415" i="2"/>
  <c r="L415" i="2"/>
  <c r="K415" i="2"/>
  <c r="P414" i="2"/>
  <c r="O414" i="2"/>
  <c r="N414" i="2"/>
  <c r="M414" i="2"/>
  <c r="L414" i="2"/>
  <c r="K414" i="2"/>
  <c r="P413" i="2"/>
  <c r="O413" i="2"/>
  <c r="N413" i="2"/>
  <c r="M413" i="2"/>
  <c r="L413" i="2"/>
  <c r="K413" i="2"/>
  <c r="Q413" i="2" s="1"/>
  <c r="P412" i="2"/>
  <c r="O412" i="2"/>
  <c r="N412" i="2"/>
  <c r="M412" i="2"/>
  <c r="L412" i="2"/>
  <c r="K412" i="2"/>
  <c r="Q412" i="2" s="1"/>
  <c r="P411" i="2"/>
  <c r="O411" i="2"/>
  <c r="N411" i="2"/>
  <c r="M411" i="2"/>
  <c r="L411" i="2"/>
  <c r="K411" i="2"/>
  <c r="Q411" i="2" s="1"/>
  <c r="P410" i="2"/>
  <c r="O410" i="2"/>
  <c r="N410" i="2"/>
  <c r="M410" i="2"/>
  <c r="L410" i="2"/>
  <c r="K410" i="2"/>
  <c r="P409" i="2"/>
  <c r="O409" i="2"/>
  <c r="N409" i="2"/>
  <c r="M409" i="2"/>
  <c r="L409" i="2"/>
  <c r="K409" i="2"/>
  <c r="Q409" i="2" s="1"/>
  <c r="P408" i="2"/>
  <c r="O408" i="2"/>
  <c r="N408" i="2"/>
  <c r="M408" i="2"/>
  <c r="L408" i="2"/>
  <c r="K408" i="2"/>
  <c r="P407" i="2"/>
  <c r="O407" i="2"/>
  <c r="N407" i="2"/>
  <c r="M407" i="2"/>
  <c r="L407" i="2"/>
  <c r="K407" i="2"/>
  <c r="P406" i="2"/>
  <c r="O406" i="2"/>
  <c r="N406" i="2"/>
  <c r="M406" i="2"/>
  <c r="L406" i="2"/>
  <c r="K406" i="2"/>
  <c r="P405" i="2"/>
  <c r="O405" i="2"/>
  <c r="N405" i="2"/>
  <c r="M405" i="2"/>
  <c r="L405" i="2"/>
  <c r="K405" i="2"/>
  <c r="P404" i="2"/>
  <c r="O404" i="2"/>
  <c r="N404" i="2"/>
  <c r="M404" i="2"/>
  <c r="L404" i="2"/>
  <c r="K404" i="2"/>
  <c r="P403" i="2"/>
  <c r="O403" i="2"/>
  <c r="N403" i="2"/>
  <c r="M403" i="2"/>
  <c r="L403" i="2"/>
  <c r="K403" i="2"/>
  <c r="Q403" i="2" s="1"/>
  <c r="P402" i="2"/>
  <c r="O402" i="2"/>
  <c r="N402" i="2"/>
  <c r="M402" i="2"/>
  <c r="L402" i="2"/>
  <c r="K402" i="2"/>
  <c r="Q402" i="2" s="1"/>
  <c r="P401" i="2"/>
  <c r="O401" i="2"/>
  <c r="N401" i="2"/>
  <c r="M401" i="2"/>
  <c r="L401" i="2"/>
  <c r="K401" i="2"/>
  <c r="Q401" i="2" s="1"/>
  <c r="P400" i="2"/>
  <c r="O400" i="2"/>
  <c r="N400" i="2"/>
  <c r="M400" i="2"/>
  <c r="L400" i="2"/>
  <c r="K400" i="2"/>
  <c r="P399" i="2"/>
  <c r="O399" i="2"/>
  <c r="N399" i="2"/>
  <c r="M399" i="2"/>
  <c r="L399" i="2"/>
  <c r="K399" i="2"/>
  <c r="P398" i="2"/>
  <c r="O398" i="2"/>
  <c r="N398" i="2"/>
  <c r="M398" i="2"/>
  <c r="L398" i="2"/>
  <c r="K398" i="2"/>
  <c r="P397" i="2"/>
  <c r="O397" i="2"/>
  <c r="N397" i="2"/>
  <c r="M397" i="2"/>
  <c r="L397" i="2"/>
  <c r="K397" i="2"/>
  <c r="P396" i="2"/>
  <c r="O396" i="2"/>
  <c r="N396" i="2"/>
  <c r="M396" i="2"/>
  <c r="L396" i="2"/>
  <c r="K396" i="2"/>
  <c r="Q396" i="2" s="1"/>
  <c r="P395" i="2"/>
  <c r="O395" i="2"/>
  <c r="N395" i="2"/>
  <c r="M395" i="2"/>
  <c r="L395" i="2"/>
  <c r="K395" i="2"/>
  <c r="P394" i="2"/>
  <c r="O394" i="2"/>
  <c r="N394" i="2"/>
  <c r="M394" i="2"/>
  <c r="L394" i="2"/>
  <c r="K394" i="2"/>
  <c r="R394" i="2" s="1"/>
  <c r="P393" i="2"/>
  <c r="O393" i="2"/>
  <c r="N393" i="2"/>
  <c r="M393" i="2"/>
  <c r="L393" i="2"/>
  <c r="K393" i="2"/>
  <c r="P392" i="2"/>
  <c r="O392" i="2"/>
  <c r="N392" i="2"/>
  <c r="M392" i="2"/>
  <c r="L392" i="2"/>
  <c r="K392" i="2"/>
  <c r="P391" i="2"/>
  <c r="O391" i="2"/>
  <c r="N391" i="2"/>
  <c r="M391" i="2"/>
  <c r="L391" i="2"/>
  <c r="K391" i="2"/>
  <c r="Q391" i="2" s="1"/>
  <c r="P390" i="2"/>
  <c r="O390" i="2"/>
  <c r="N390" i="2"/>
  <c r="M390" i="2"/>
  <c r="L390" i="2"/>
  <c r="K390" i="2"/>
  <c r="P389" i="2"/>
  <c r="O389" i="2"/>
  <c r="N389" i="2"/>
  <c r="M389" i="2"/>
  <c r="L389" i="2"/>
  <c r="K389" i="2"/>
  <c r="P388" i="2"/>
  <c r="O388" i="2"/>
  <c r="N388" i="2"/>
  <c r="M388" i="2"/>
  <c r="L388" i="2"/>
  <c r="K388" i="2"/>
  <c r="P387" i="2"/>
  <c r="O387" i="2"/>
  <c r="N387" i="2"/>
  <c r="M387" i="2"/>
  <c r="L387" i="2"/>
  <c r="K387" i="2"/>
  <c r="R387" i="2" s="1"/>
  <c r="P386" i="2"/>
  <c r="O386" i="2"/>
  <c r="N386" i="2"/>
  <c r="M386" i="2"/>
  <c r="L386" i="2"/>
  <c r="K386" i="2"/>
  <c r="P385" i="2"/>
  <c r="O385" i="2"/>
  <c r="N385" i="2"/>
  <c r="M385" i="2"/>
  <c r="L385" i="2"/>
  <c r="K385" i="2"/>
  <c r="R385" i="2" s="1"/>
  <c r="P384" i="2"/>
  <c r="O384" i="2"/>
  <c r="N384" i="2"/>
  <c r="M384" i="2"/>
  <c r="L384" i="2"/>
  <c r="K384" i="2"/>
  <c r="P383" i="2"/>
  <c r="O383" i="2"/>
  <c r="N383" i="2"/>
  <c r="M383" i="2"/>
  <c r="L383" i="2"/>
  <c r="K383" i="2"/>
  <c r="R383" i="2" s="1"/>
  <c r="P382" i="2"/>
  <c r="O382" i="2"/>
  <c r="N382" i="2"/>
  <c r="M382" i="2"/>
  <c r="L382" i="2"/>
  <c r="K382" i="2"/>
  <c r="P381" i="2"/>
  <c r="O381" i="2"/>
  <c r="N381" i="2"/>
  <c r="M381" i="2"/>
  <c r="L381" i="2"/>
  <c r="K381" i="2"/>
  <c r="R381" i="2" s="1"/>
  <c r="P380" i="2"/>
  <c r="O380" i="2"/>
  <c r="N380" i="2"/>
  <c r="M380" i="2"/>
  <c r="L380" i="2"/>
  <c r="K380" i="2"/>
  <c r="P379" i="2"/>
  <c r="O379" i="2"/>
  <c r="N379" i="2"/>
  <c r="M379" i="2"/>
  <c r="L379" i="2"/>
  <c r="K379" i="2"/>
  <c r="R379" i="2" s="1"/>
  <c r="P378" i="2"/>
  <c r="O378" i="2"/>
  <c r="N378" i="2"/>
  <c r="M378" i="2"/>
  <c r="L378" i="2"/>
  <c r="K378" i="2"/>
  <c r="P377" i="2"/>
  <c r="O377" i="2"/>
  <c r="N377" i="2"/>
  <c r="M377" i="2"/>
  <c r="L377" i="2"/>
  <c r="K377" i="2"/>
  <c r="R377" i="2" s="1"/>
  <c r="P376" i="2"/>
  <c r="O376" i="2"/>
  <c r="N376" i="2"/>
  <c r="M376" i="2"/>
  <c r="L376" i="2"/>
  <c r="K376" i="2"/>
  <c r="P375" i="2"/>
  <c r="O375" i="2"/>
  <c r="N375" i="2"/>
  <c r="M375" i="2"/>
  <c r="L375" i="2"/>
  <c r="K375" i="2"/>
  <c r="R375" i="2" s="1"/>
  <c r="P374" i="2"/>
  <c r="O374" i="2"/>
  <c r="N374" i="2"/>
  <c r="M374" i="2"/>
  <c r="L374" i="2"/>
  <c r="K374" i="2"/>
  <c r="P373" i="2"/>
  <c r="O373" i="2"/>
  <c r="N373" i="2"/>
  <c r="M373" i="2"/>
  <c r="L373" i="2"/>
  <c r="K373" i="2"/>
  <c r="R373" i="2" s="1"/>
  <c r="P372" i="2"/>
  <c r="O372" i="2"/>
  <c r="N372" i="2"/>
  <c r="M372" i="2"/>
  <c r="L372" i="2"/>
  <c r="K372" i="2"/>
  <c r="P371" i="2"/>
  <c r="O371" i="2"/>
  <c r="N371" i="2"/>
  <c r="M371" i="2"/>
  <c r="L371" i="2"/>
  <c r="K371" i="2"/>
  <c r="P370" i="2"/>
  <c r="O370" i="2"/>
  <c r="N370" i="2"/>
  <c r="M370" i="2"/>
  <c r="L370" i="2"/>
  <c r="K370" i="2"/>
  <c r="P369" i="2"/>
  <c r="O369" i="2"/>
  <c r="N369" i="2"/>
  <c r="M369" i="2"/>
  <c r="L369" i="2"/>
  <c r="K369" i="2"/>
  <c r="P368" i="2"/>
  <c r="O368" i="2"/>
  <c r="N368" i="2"/>
  <c r="M368" i="2"/>
  <c r="L368" i="2"/>
  <c r="K368" i="2"/>
  <c r="P367" i="2"/>
  <c r="O367" i="2"/>
  <c r="N367" i="2"/>
  <c r="M367" i="2"/>
  <c r="L367" i="2"/>
  <c r="K367" i="2"/>
  <c r="Q367" i="2" s="1"/>
  <c r="P366" i="2"/>
  <c r="O366" i="2"/>
  <c r="N366" i="2"/>
  <c r="M366" i="2"/>
  <c r="L366" i="2"/>
  <c r="K366" i="2"/>
  <c r="P365" i="2"/>
  <c r="O365" i="2"/>
  <c r="N365" i="2"/>
  <c r="M365" i="2"/>
  <c r="L365" i="2"/>
  <c r="K365" i="2"/>
  <c r="P364" i="2"/>
  <c r="O364" i="2"/>
  <c r="N364" i="2"/>
  <c r="M364" i="2"/>
  <c r="L364" i="2"/>
  <c r="K364" i="2"/>
  <c r="P363" i="2"/>
  <c r="O363" i="2"/>
  <c r="N363" i="2"/>
  <c r="M363" i="2"/>
  <c r="L363" i="2"/>
  <c r="K363" i="2"/>
  <c r="P362" i="2"/>
  <c r="O362" i="2"/>
  <c r="N362" i="2"/>
  <c r="M362" i="2"/>
  <c r="L362" i="2"/>
  <c r="K362" i="2"/>
  <c r="Q362" i="2" s="1"/>
  <c r="P361" i="2"/>
  <c r="O361" i="2"/>
  <c r="N361" i="2"/>
  <c r="M361" i="2"/>
  <c r="L361" i="2"/>
  <c r="K361" i="2"/>
  <c r="P360" i="2"/>
  <c r="O360" i="2"/>
  <c r="N360" i="2"/>
  <c r="M360" i="2"/>
  <c r="L360" i="2"/>
  <c r="K360" i="2"/>
  <c r="P359" i="2"/>
  <c r="O359" i="2"/>
  <c r="N359" i="2"/>
  <c r="M359" i="2"/>
  <c r="L359" i="2"/>
  <c r="K359" i="2"/>
  <c r="Q359" i="2" s="1"/>
  <c r="P358" i="2"/>
  <c r="O358" i="2"/>
  <c r="N358" i="2"/>
  <c r="M358" i="2"/>
  <c r="L358" i="2"/>
  <c r="K358" i="2"/>
  <c r="Q358" i="2" s="1"/>
  <c r="P357" i="2"/>
  <c r="O357" i="2"/>
  <c r="N357" i="2"/>
  <c r="M357" i="2"/>
  <c r="L357" i="2"/>
  <c r="K357" i="2"/>
  <c r="Q357" i="2" s="1"/>
  <c r="P356" i="2"/>
  <c r="O356" i="2"/>
  <c r="N356" i="2"/>
  <c r="M356" i="2"/>
  <c r="L356" i="2"/>
  <c r="K356" i="2"/>
  <c r="P355" i="2"/>
  <c r="O355" i="2"/>
  <c r="N355" i="2"/>
  <c r="M355" i="2"/>
  <c r="L355" i="2"/>
  <c r="K355" i="2"/>
  <c r="R355" i="2" s="1"/>
  <c r="P354" i="2"/>
  <c r="O354" i="2"/>
  <c r="N354" i="2"/>
  <c r="M354" i="2"/>
  <c r="L354" i="2"/>
  <c r="K354" i="2"/>
  <c r="P353" i="2"/>
  <c r="O353" i="2"/>
  <c r="N353" i="2"/>
  <c r="M353" i="2"/>
  <c r="L353" i="2"/>
  <c r="K353" i="2"/>
  <c r="P352" i="2"/>
  <c r="O352" i="2"/>
  <c r="N352" i="2"/>
  <c r="M352" i="2"/>
  <c r="L352" i="2"/>
  <c r="K352" i="2"/>
  <c r="P351" i="2"/>
  <c r="O351" i="2"/>
  <c r="N351" i="2"/>
  <c r="M351" i="2"/>
  <c r="L351" i="2"/>
  <c r="K351" i="2"/>
  <c r="R351" i="2" s="1"/>
  <c r="P350" i="2"/>
  <c r="O350" i="2"/>
  <c r="N350" i="2"/>
  <c r="M350" i="2"/>
  <c r="L350" i="2"/>
  <c r="K350" i="2"/>
  <c r="Q350" i="2" s="1"/>
  <c r="P349" i="2"/>
  <c r="O349" i="2"/>
  <c r="N349" i="2"/>
  <c r="M349" i="2"/>
  <c r="L349" i="2"/>
  <c r="K349" i="2"/>
  <c r="R349" i="2" s="1"/>
  <c r="P348" i="2"/>
  <c r="O348" i="2"/>
  <c r="N348" i="2"/>
  <c r="M348" i="2"/>
  <c r="L348" i="2"/>
  <c r="K348" i="2"/>
  <c r="Q348" i="2" s="1"/>
  <c r="P347" i="2"/>
  <c r="O347" i="2"/>
  <c r="N347" i="2"/>
  <c r="M347" i="2"/>
  <c r="L347" i="2"/>
  <c r="K347" i="2"/>
  <c r="P346" i="2"/>
  <c r="O346" i="2"/>
  <c r="N346" i="2"/>
  <c r="M346" i="2"/>
  <c r="L346" i="2"/>
  <c r="K346" i="2"/>
  <c r="Q346" i="2" s="1"/>
  <c r="P345" i="2"/>
  <c r="O345" i="2"/>
  <c r="N345" i="2"/>
  <c r="M345" i="2"/>
  <c r="L345" i="2"/>
  <c r="K345" i="2"/>
  <c r="P344" i="2"/>
  <c r="O344" i="2"/>
  <c r="N344" i="2"/>
  <c r="M344" i="2"/>
  <c r="L344" i="2"/>
  <c r="K344" i="2"/>
  <c r="P343" i="2"/>
  <c r="O343" i="2"/>
  <c r="N343" i="2"/>
  <c r="M343" i="2"/>
  <c r="L343" i="2"/>
  <c r="K343" i="2"/>
  <c r="Q343" i="2" s="1"/>
  <c r="P342" i="2"/>
  <c r="O342" i="2"/>
  <c r="N342" i="2"/>
  <c r="M342" i="2"/>
  <c r="L342" i="2"/>
  <c r="K342" i="2"/>
  <c r="P341" i="2"/>
  <c r="O341" i="2"/>
  <c r="N341" i="2"/>
  <c r="M341" i="2"/>
  <c r="L341" i="2"/>
  <c r="K341" i="2"/>
  <c r="P340" i="2"/>
  <c r="O340" i="2"/>
  <c r="N340" i="2"/>
  <c r="M340" i="2"/>
  <c r="L340" i="2"/>
  <c r="K340" i="2"/>
  <c r="R340" i="2" s="1"/>
  <c r="P339" i="2"/>
  <c r="O339" i="2"/>
  <c r="N339" i="2"/>
  <c r="M339" i="2"/>
  <c r="L339" i="2"/>
  <c r="K339" i="2"/>
  <c r="P338" i="2"/>
  <c r="O338" i="2"/>
  <c r="N338" i="2"/>
  <c r="M338" i="2"/>
  <c r="L338" i="2"/>
  <c r="K338" i="2"/>
  <c r="R338" i="2" s="1"/>
  <c r="P337" i="2"/>
  <c r="O337" i="2"/>
  <c r="N337" i="2"/>
  <c r="M337" i="2"/>
  <c r="L337" i="2"/>
  <c r="K337" i="2"/>
  <c r="P336" i="2"/>
  <c r="O336" i="2"/>
  <c r="N336" i="2"/>
  <c r="M336" i="2"/>
  <c r="L336" i="2"/>
  <c r="K336" i="2"/>
  <c r="Q336" i="2" s="1"/>
  <c r="P335" i="2"/>
  <c r="O335" i="2"/>
  <c r="N335" i="2"/>
  <c r="M335" i="2"/>
  <c r="L335" i="2"/>
  <c r="K335" i="2"/>
  <c r="P334" i="2"/>
  <c r="O334" i="2"/>
  <c r="N334" i="2"/>
  <c r="M334" i="2"/>
  <c r="L334" i="2"/>
  <c r="K334" i="2"/>
  <c r="R334" i="2" s="1"/>
  <c r="P333" i="2"/>
  <c r="O333" i="2"/>
  <c r="N333" i="2"/>
  <c r="M333" i="2"/>
  <c r="L333" i="2"/>
  <c r="K333" i="2"/>
  <c r="P332" i="2"/>
  <c r="O332" i="2"/>
  <c r="N332" i="2"/>
  <c r="M332" i="2"/>
  <c r="L332" i="2"/>
  <c r="K332" i="2"/>
  <c r="Q332" i="2" s="1"/>
  <c r="P331" i="2"/>
  <c r="O331" i="2"/>
  <c r="N331" i="2"/>
  <c r="M331" i="2"/>
  <c r="L331" i="2"/>
  <c r="K331" i="2"/>
  <c r="P330" i="2"/>
  <c r="O330" i="2"/>
  <c r="N330" i="2"/>
  <c r="M330" i="2"/>
  <c r="L330" i="2"/>
  <c r="K330" i="2"/>
  <c r="P329" i="2"/>
  <c r="O329" i="2"/>
  <c r="N329" i="2"/>
  <c r="M329" i="2"/>
  <c r="L329" i="2"/>
  <c r="K329" i="2"/>
  <c r="P328" i="2"/>
  <c r="O328" i="2"/>
  <c r="N328" i="2"/>
  <c r="M328" i="2"/>
  <c r="L328" i="2"/>
  <c r="K328" i="2"/>
  <c r="Q328" i="2" s="1"/>
  <c r="P327" i="2"/>
  <c r="O327" i="2"/>
  <c r="N327" i="2"/>
  <c r="M327" i="2"/>
  <c r="L327" i="2"/>
  <c r="K327" i="2"/>
  <c r="P326" i="2"/>
  <c r="O326" i="2"/>
  <c r="N326" i="2"/>
  <c r="M326" i="2"/>
  <c r="L326" i="2"/>
  <c r="K326" i="2"/>
  <c r="P325" i="2"/>
  <c r="O325" i="2"/>
  <c r="N325" i="2"/>
  <c r="M325" i="2"/>
  <c r="L325" i="2"/>
  <c r="K325" i="2"/>
  <c r="P324" i="2"/>
  <c r="O324" i="2"/>
  <c r="N324" i="2"/>
  <c r="M324" i="2"/>
  <c r="L324" i="2"/>
  <c r="K324" i="2"/>
  <c r="Q324" i="2" s="1"/>
  <c r="P323" i="2"/>
  <c r="O323" i="2"/>
  <c r="N323" i="2"/>
  <c r="M323" i="2"/>
  <c r="L323" i="2"/>
  <c r="K323" i="2"/>
  <c r="P322" i="2"/>
  <c r="O322" i="2"/>
  <c r="N322" i="2"/>
  <c r="M322" i="2"/>
  <c r="L322" i="2"/>
  <c r="K322" i="2"/>
  <c r="R322" i="2" s="1"/>
  <c r="P321" i="2"/>
  <c r="O321" i="2"/>
  <c r="N321" i="2"/>
  <c r="M321" i="2"/>
  <c r="L321" i="2"/>
  <c r="K321" i="2"/>
  <c r="P320" i="2"/>
  <c r="O320" i="2"/>
  <c r="N320" i="2"/>
  <c r="M320" i="2"/>
  <c r="L320" i="2"/>
  <c r="K320" i="2"/>
  <c r="P319" i="2"/>
  <c r="O319" i="2"/>
  <c r="N319" i="2"/>
  <c r="M319" i="2"/>
  <c r="L319" i="2"/>
  <c r="K319" i="2"/>
  <c r="P318" i="2"/>
  <c r="O318" i="2"/>
  <c r="N318" i="2"/>
  <c r="M318" i="2"/>
  <c r="L318" i="2"/>
  <c r="K318" i="2"/>
  <c r="P317" i="2"/>
  <c r="O317" i="2"/>
  <c r="N317" i="2"/>
  <c r="M317" i="2"/>
  <c r="L317" i="2"/>
  <c r="K317" i="2"/>
  <c r="P316" i="2"/>
  <c r="O316" i="2"/>
  <c r="N316" i="2"/>
  <c r="M316" i="2"/>
  <c r="L316" i="2"/>
  <c r="K316" i="2"/>
  <c r="R316" i="2" s="1"/>
  <c r="P315" i="2"/>
  <c r="O315" i="2"/>
  <c r="N315" i="2"/>
  <c r="M315" i="2"/>
  <c r="L315" i="2"/>
  <c r="K315" i="2"/>
  <c r="P314" i="2"/>
  <c r="O314" i="2"/>
  <c r="N314" i="2"/>
  <c r="M314" i="2"/>
  <c r="L314" i="2"/>
  <c r="K314" i="2"/>
  <c r="P313" i="2"/>
  <c r="O313" i="2"/>
  <c r="N313" i="2"/>
  <c r="M313" i="2"/>
  <c r="L313" i="2"/>
  <c r="K313" i="2"/>
  <c r="P312" i="2"/>
  <c r="O312" i="2"/>
  <c r="N312" i="2"/>
  <c r="M312" i="2"/>
  <c r="L312" i="2"/>
  <c r="K312" i="2"/>
  <c r="R312" i="2" s="1"/>
  <c r="P311" i="2"/>
  <c r="O311" i="2"/>
  <c r="N311" i="2"/>
  <c r="M311" i="2"/>
  <c r="L311" i="2"/>
  <c r="K311" i="2"/>
  <c r="P310" i="2"/>
  <c r="O310" i="2"/>
  <c r="N310" i="2"/>
  <c r="M310" i="2"/>
  <c r="L310" i="2"/>
  <c r="K310" i="2"/>
  <c r="P309" i="2"/>
  <c r="O309" i="2"/>
  <c r="N309" i="2"/>
  <c r="M309" i="2"/>
  <c r="L309" i="2"/>
  <c r="K309" i="2"/>
  <c r="P308" i="2"/>
  <c r="O308" i="2"/>
  <c r="N308" i="2"/>
  <c r="M308" i="2"/>
  <c r="L308" i="2"/>
  <c r="K308" i="2"/>
  <c r="P307" i="2"/>
  <c r="O307" i="2"/>
  <c r="N307" i="2"/>
  <c r="M307" i="2"/>
  <c r="L307" i="2"/>
  <c r="K307" i="2"/>
  <c r="Q307" i="2" s="1"/>
  <c r="P306" i="2"/>
  <c r="O306" i="2"/>
  <c r="N306" i="2"/>
  <c r="M306" i="2"/>
  <c r="L306" i="2"/>
  <c r="K306" i="2"/>
  <c r="P305" i="2"/>
  <c r="O305" i="2"/>
  <c r="N305" i="2"/>
  <c r="M305" i="2"/>
  <c r="L305" i="2"/>
  <c r="K305" i="2"/>
  <c r="P304" i="2"/>
  <c r="O304" i="2"/>
  <c r="N304" i="2"/>
  <c r="M304" i="2"/>
  <c r="L304" i="2"/>
  <c r="K304" i="2"/>
  <c r="P303" i="2"/>
  <c r="O303" i="2"/>
  <c r="N303" i="2"/>
  <c r="M303" i="2"/>
  <c r="L303" i="2"/>
  <c r="K303" i="2"/>
  <c r="Q303" i="2" s="1"/>
  <c r="P302" i="2"/>
  <c r="O302" i="2"/>
  <c r="N302" i="2"/>
  <c r="M302" i="2"/>
  <c r="L302" i="2"/>
  <c r="K302" i="2"/>
  <c r="P301" i="2"/>
  <c r="O301" i="2"/>
  <c r="N301" i="2"/>
  <c r="M301" i="2"/>
  <c r="L301" i="2"/>
  <c r="K301" i="2"/>
  <c r="Q301" i="2" s="1"/>
  <c r="P300" i="2"/>
  <c r="O300" i="2"/>
  <c r="N300" i="2"/>
  <c r="M300" i="2"/>
  <c r="L300" i="2"/>
  <c r="K300" i="2"/>
  <c r="Q300" i="2" s="1"/>
  <c r="P299" i="2"/>
  <c r="O299" i="2"/>
  <c r="N299" i="2"/>
  <c r="M299" i="2"/>
  <c r="L299" i="2"/>
  <c r="K299" i="2"/>
  <c r="P298" i="2"/>
  <c r="O298" i="2"/>
  <c r="N298" i="2"/>
  <c r="M298" i="2"/>
  <c r="L298" i="2"/>
  <c r="K298" i="2"/>
  <c r="Q298" i="2" s="1"/>
  <c r="P297" i="2"/>
  <c r="O297" i="2"/>
  <c r="N297" i="2"/>
  <c r="M297" i="2"/>
  <c r="L297" i="2"/>
  <c r="K297" i="2"/>
  <c r="P296" i="2"/>
  <c r="O296" i="2"/>
  <c r="N296" i="2"/>
  <c r="M296" i="2"/>
  <c r="L296" i="2"/>
  <c r="K296" i="2"/>
  <c r="Q296" i="2" s="1"/>
  <c r="P295" i="2"/>
  <c r="O295" i="2"/>
  <c r="N295" i="2"/>
  <c r="M295" i="2"/>
  <c r="L295" i="2"/>
  <c r="K295" i="2"/>
  <c r="P294" i="2"/>
  <c r="O294" i="2"/>
  <c r="N294" i="2"/>
  <c r="M294" i="2"/>
  <c r="L294" i="2"/>
  <c r="K294" i="2"/>
  <c r="P293" i="2"/>
  <c r="O293" i="2"/>
  <c r="N293" i="2"/>
  <c r="M293" i="2"/>
  <c r="L293" i="2"/>
  <c r="K293" i="2"/>
  <c r="P292" i="2"/>
  <c r="O292" i="2"/>
  <c r="N292" i="2"/>
  <c r="M292" i="2"/>
  <c r="L292" i="2"/>
  <c r="K292" i="2"/>
  <c r="R292" i="2" s="1"/>
  <c r="P291" i="2"/>
  <c r="O291" i="2"/>
  <c r="N291" i="2"/>
  <c r="M291" i="2"/>
  <c r="L291" i="2"/>
  <c r="K291" i="2"/>
  <c r="P290" i="2"/>
  <c r="O290" i="2"/>
  <c r="N290" i="2"/>
  <c r="M290" i="2"/>
  <c r="L290" i="2"/>
  <c r="K290" i="2"/>
  <c r="R290" i="2" s="1"/>
  <c r="P289" i="2"/>
  <c r="O289" i="2"/>
  <c r="N289" i="2"/>
  <c r="M289" i="2"/>
  <c r="L289" i="2"/>
  <c r="K289" i="2"/>
  <c r="Q289" i="2" s="1"/>
  <c r="P288" i="2"/>
  <c r="O288" i="2"/>
  <c r="N288" i="2"/>
  <c r="M288" i="2"/>
  <c r="L288" i="2"/>
  <c r="K288" i="2"/>
  <c r="P287" i="2"/>
  <c r="O287" i="2"/>
  <c r="N287" i="2"/>
  <c r="M287" i="2"/>
  <c r="L287" i="2"/>
  <c r="K287" i="2"/>
  <c r="P286" i="2"/>
  <c r="O286" i="2"/>
  <c r="N286" i="2"/>
  <c r="M286" i="2"/>
  <c r="L286" i="2"/>
  <c r="K286" i="2"/>
  <c r="P285" i="2"/>
  <c r="O285" i="2"/>
  <c r="N285" i="2"/>
  <c r="M285" i="2"/>
  <c r="L285" i="2"/>
  <c r="K285" i="2"/>
  <c r="P284" i="2"/>
  <c r="O284" i="2"/>
  <c r="N284" i="2"/>
  <c r="M284" i="2"/>
  <c r="L284" i="2"/>
  <c r="K284" i="2"/>
  <c r="P283" i="2"/>
  <c r="O283" i="2"/>
  <c r="N283" i="2"/>
  <c r="M283" i="2"/>
  <c r="L283" i="2"/>
  <c r="K283" i="2"/>
  <c r="Q283" i="2" s="1"/>
  <c r="P282" i="2"/>
  <c r="O282" i="2"/>
  <c r="N282" i="2"/>
  <c r="M282" i="2"/>
  <c r="L282" i="2"/>
  <c r="K282" i="2"/>
  <c r="P281" i="2"/>
  <c r="O281" i="2"/>
  <c r="N281" i="2"/>
  <c r="M281" i="2"/>
  <c r="L281" i="2"/>
  <c r="K281" i="2"/>
  <c r="P280" i="2"/>
  <c r="O280" i="2"/>
  <c r="N280" i="2"/>
  <c r="M280" i="2"/>
  <c r="L280" i="2"/>
  <c r="K280" i="2"/>
  <c r="Q280" i="2" s="1"/>
  <c r="P279" i="2"/>
  <c r="O279" i="2"/>
  <c r="N279" i="2"/>
  <c r="M279" i="2"/>
  <c r="L279" i="2"/>
  <c r="K279" i="2"/>
  <c r="Q279" i="2" s="1"/>
  <c r="P278" i="2"/>
  <c r="O278" i="2"/>
  <c r="N278" i="2"/>
  <c r="M278" i="2"/>
  <c r="L278" i="2"/>
  <c r="K278" i="2"/>
  <c r="Q278" i="2" s="1"/>
  <c r="P277" i="2"/>
  <c r="O277" i="2"/>
  <c r="N277" i="2"/>
  <c r="M277" i="2"/>
  <c r="L277" i="2"/>
  <c r="K277" i="2"/>
  <c r="P276" i="2"/>
  <c r="O276" i="2"/>
  <c r="N276" i="2"/>
  <c r="M276" i="2"/>
  <c r="L276" i="2"/>
  <c r="K276" i="2"/>
  <c r="R276" i="2" s="1"/>
  <c r="P275" i="2"/>
  <c r="O275" i="2"/>
  <c r="N275" i="2"/>
  <c r="M275" i="2"/>
  <c r="L275" i="2"/>
  <c r="K275" i="2"/>
  <c r="P274" i="2"/>
  <c r="O274" i="2"/>
  <c r="N274" i="2"/>
  <c r="M274" i="2"/>
  <c r="L274" i="2"/>
  <c r="K274" i="2"/>
  <c r="P273" i="2"/>
  <c r="O273" i="2"/>
  <c r="N273" i="2"/>
  <c r="M273" i="2"/>
  <c r="L273" i="2"/>
  <c r="K273" i="2"/>
  <c r="P272" i="2"/>
  <c r="O272" i="2"/>
  <c r="N272" i="2"/>
  <c r="M272" i="2"/>
  <c r="L272" i="2"/>
  <c r="K272" i="2"/>
  <c r="Q272" i="2" s="1"/>
  <c r="P271" i="2"/>
  <c r="O271" i="2"/>
  <c r="N271" i="2"/>
  <c r="M271" i="2"/>
  <c r="L271" i="2"/>
  <c r="K271" i="2"/>
  <c r="P270" i="2"/>
  <c r="O270" i="2"/>
  <c r="N270" i="2"/>
  <c r="M270" i="2"/>
  <c r="L270" i="2"/>
  <c r="K270" i="2"/>
  <c r="Q270" i="2" s="1"/>
  <c r="P269" i="2"/>
  <c r="O269" i="2"/>
  <c r="N269" i="2"/>
  <c r="M269" i="2"/>
  <c r="L269" i="2"/>
  <c r="K269" i="2"/>
  <c r="Q269" i="2" s="1"/>
  <c r="P268" i="2"/>
  <c r="O268" i="2"/>
  <c r="N268" i="2"/>
  <c r="M268" i="2"/>
  <c r="L268" i="2"/>
  <c r="K268" i="2"/>
  <c r="P267" i="2"/>
  <c r="O267" i="2"/>
  <c r="N267" i="2"/>
  <c r="M267" i="2"/>
  <c r="L267" i="2"/>
  <c r="K267" i="2"/>
  <c r="P266" i="2"/>
  <c r="O266" i="2"/>
  <c r="N266" i="2"/>
  <c r="M266" i="2"/>
  <c r="L266" i="2"/>
  <c r="K266" i="2"/>
  <c r="P265" i="2"/>
  <c r="O265" i="2"/>
  <c r="N265" i="2"/>
  <c r="M265" i="2"/>
  <c r="L265" i="2"/>
  <c r="K265" i="2"/>
  <c r="P264" i="2"/>
  <c r="O264" i="2"/>
  <c r="N264" i="2"/>
  <c r="M264" i="2"/>
  <c r="L264" i="2"/>
  <c r="K264" i="2"/>
  <c r="P263" i="2"/>
  <c r="O263" i="2"/>
  <c r="N263" i="2"/>
  <c r="M263" i="2"/>
  <c r="L263" i="2"/>
  <c r="K263" i="2"/>
  <c r="P262" i="2"/>
  <c r="O262" i="2"/>
  <c r="N262" i="2"/>
  <c r="M262" i="2"/>
  <c r="L262" i="2"/>
  <c r="K262" i="2"/>
  <c r="P261" i="2"/>
  <c r="O261" i="2"/>
  <c r="N261" i="2"/>
  <c r="M261" i="2"/>
  <c r="L261" i="2"/>
  <c r="K261" i="2"/>
  <c r="Q261" i="2" s="1"/>
  <c r="P260" i="2"/>
  <c r="O260" i="2"/>
  <c r="N260" i="2"/>
  <c r="M260" i="2"/>
  <c r="L260" i="2"/>
  <c r="K260" i="2"/>
  <c r="P259" i="2"/>
  <c r="O259" i="2"/>
  <c r="N259" i="2"/>
  <c r="M259" i="2"/>
  <c r="L259" i="2"/>
  <c r="K259" i="2"/>
  <c r="P258" i="2"/>
  <c r="O258" i="2"/>
  <c r="N258" i="2"/>
  <c r="M258" i="2"/>
  <c r="L258" i="2"/>
  <c r="K258" i="2"/>
  <c r="R258" i="2" s="1"/>
  <c r="P257" i="2"/>
  <c r="O257" i="2"/>
  <c r="N257" i="2"/>
  <c r="M257" i="2"/>
  <c r="L257" i="2"/>
  <c r="K257" i="2"/>
  <c r="P256" i="2"/>
  <c r="O256" i="2"/>
  <c r="N256" i="2"/>
  <c r="M256" i="2"/>
  <c r="L256" i="2"/>
  <c r="K256" i="2"/>
  <c r="R256" i="2" s="1"/>
  <c r="P255" i="2"/>
  <c r="O255" i="2"/>
  <c r="N255" i="2"/>
  <c r="M255" i="2"/>
  <c r="L255" i="2"/>
  <c r="K255" i="2"/>
  <c r="P254" i="2"/>
  <c r="O254" i="2"/>
  <c r="N254" i="2"/>
  <c r="M254" i="2"/>
  <c r="L254" i="2"/>
  <c r="K254" i="2"/>
  <c r="P253" i="2"/>
  <c r="O253" i="2"/>
  <c r="N253" i="2"/>
  <c r="M253" i="2"/>
  <c r="L253" i="2"/>
  <c r="K253" i="2"/>
  <c r="P252" i="2"/>
  <c r="O252" i="2"/>
  <c r="N252" i="2"/>
  <c r="M252" i="2"/>
  <c r="L252" i="2"/>
  <c r="K252" i="2"/>
  <c r="R252" i="2" s="1"/>
  <c r="P251" i="2"/>
  <c r="O251" i="2"/>
  <c r="N251" i="2"/>
  <c r="M251" i="2"/>
  <c r="L251" i="2"/>
  <c r="K251" i="2"/>
  <c r="P250" i="2"/>
  <c r="O250" i="2"/>
  <c r="N250" i="2"/>
  <c r="M250" i="2"/>
  <c r="L250" i="2"/>
  <c r="K250" i="2"/>
  <c r="P249" i="2"/>
  <c r="O249" i="2"/>
  <c r="N249" i="2"/>
  <c r="M249" i="2"/>
  <c r="L249" i="2"/>
  <c r="K249" i="2"/>
  <c r="P248" i="2"/>
  <c r="O248" i="2"/>
  <c r="N248" i="2"/>
  <c r="M248" i="2"/>
  <c r="L248" i="2"/>
  <c r="K248" i="2"/>
  <c r="Q248" i="2" s="1"/>
  <c r="P247" i="2"/>
  <c r="O247" i="2"/>
  <c r="N247" i="2"/>
  <c r="M247" i="2"/>
  <c r="L247" i="2"/>
  <c r="K247" i="2"/>
  <c r="Q247" i="2" s="1"/>
  <c r="P246" i="2"/>
  <c r="O246" i="2"/>
  <c r="N246" i="2"/>
  <c r="M246" i="2"/>
  <c r="L246" i="2"/>
  <c r="K246" i="2"/>
  <c r="P245" i="2"/>
  <c r="O245" i="2"/>
  <c r="N245" i="2"/>
  <c r="M245" i="2"/>
  <c r="L245" i="2"/>
  <c r="K245" i="2"/>
  <c r="Q245" i="2" s="1"/>
  <c r="P244" i="2"/>
  <c r="O244" i="2"/>
  <c r="N244" i="2"/>
  <c r="M244" i="2"/>
  <c r="L244" i="2"/>
  <c r="K244" i="2"/>
  <c r="P243" i="2"/>
  <c r="O243" i="2"/>
  <c r="N243" i="2"/>
  <c r="M243" i="2"/>
  <c r="L243" i="2"/>
  <c r="K243" i="2"/>
  <c r="Q243" i="2" s="1"/>
  <c r="P242" i="2"/>
  <c r="O242" i="2"/>
  <c r="N242" i="2"/>
  <c r="M242" i="2"/>
  <c r="L242" i="2"/>
  <c r="K242" i="2"/>
  <c r="P241" i="2"/>
  <c r="O241" i="2"/>
  <c r="N241" i="2"/>
  <c r="M241" i="2"/>
  <c r="L241" i="2"/>
  <c r="K241" i="2"/>
  <c r="R241" i="2" s="1"/>
  <c r="P240" i="2"/>
  <c r="O240" i="2"/>
  <c r="N240" i="2"/>
  <c r="M240" i="2"/>
  <c r="L240" i="2"/>
  <c r="K240" i="2"/>
  <c r="P239" i="2"/>
  <c r="O239" i="2"/>
  <c r="N239" i="2"/>
  <c r="M239" i="2"/>
  <c r="L239" i="2"/>
  <c r="K239" i="2"/>
  <c r="Q239" i="2" s="1"/>
  <c r="P238" i="2"/>
  <c r="O238" i="2"/>
  <c r="N238" i="2"/>
  <c r="M238" i="2"/>
  <c r="L238" i="2"/>
  <c r="K238" i="2"/>
  <c r="P237" i="2"/>
  <c r="O237" i="2"/>
  <c r="N237" i="2"/>
  <c r="M237" i="2"/>
  <c r="L237" i="2"/>
  <c r="K237" i="2"/>
  <c r="R237" i="2" s="1"/>
  <c r="P236" i="2"/>
  <c r="O236" i="2"/>
  <c r="N236" i="2"/>
  <c r="M236" i="2"/>
  <c r="L236" i="2"/>
  <c r="K236" i="2"/>
  <c r="Q236" i="2" s="1"/>
  <c r="P235" i="2"/>
  <c r="O235" i="2"/>
  <c r="N235" i="2"/>
  <c r="M235" i="2"/>
  <c r="L235" i="2"/>
  <c r="K235" i="2"/>
  <c r="R235" i="2" s="1"/>
  <c r="P234" i="2"/>
  <c r="O234" i="2"/>
  <c r="N234" i="2"/>
  <c r="M234" i="2"/>
  <c r="L234" i="2"/>
  <c r="K234" i="2"/>
  <c r="Q234" i="2" s="1"/>
  <c r="P233" i="2"/>
  <c r="O233" i="2"/>
  <c r="N233" i="2"/>
  <c r="M233" i="2"/>
  <c r="L233" i="2"/>
  <c r="K233" i="2"/>
  <c r="Q233" i="2" s="1"/>
  <c r="P232" i="2"/>
  <c r="O232" i="2"/>
  <c r="N232" i="2"/>
  <c r="M232" i="2"/>
  <c r="L232" i="2"/>
  <c r="K232" i="2"/>
  <c r="Q232" i="2" s="1"/>
  <c r="P231" i="2"/>
  <c r="O231" i="2"/>
  <c r="N231" i="2"/>
  <c r="M231" i="2"/>
  <c r="L231" i="2"/>
  <c r="K231" i="2"/>
  <c r="P230" i="2"/>
  <c r="O230" i="2"/>
  <c r="N230" i="2"/>
  <c r="M230" i="2"/>
  <c r="L230" i="2"/>
  <c r="K230" i="2"/>
  <c r="Q230" i="2" s="1"/>
  <c r="P229" i="2"/>
  <c r="O229" i="2"/>
  <c r="N229" i="2"/>
  <c r="M229" i="2"/>
  <c r="L229" i="2"/>
  <c r="K229" i="2"/>
  <c r="P228" i="2"/>
  <c r="O228" i="2"/>
  <c r="N228" i="2"/>
  <c r="M228" i="2"/>
  <c r="L228" i="2"/>
  <c r="K228" i="2"/>
  <c r="Q228" i="2" s="1"/>
  <c r="P227" i="2"/>
  <c r="O227" i="2"/>
  <c r="N227" i="2"/>
  <c r="M227" i="2"/>
  <c r="L227" i="2"/>
  <c r="K227" i="2"/>
  <c r="P226" i="2"/>
  <c r="O226" i="2"/>
  <c r="N226" i="2"/>
  <c r="M226" i="2"/>
  <c r="L226" i="2"/>
  <c r="K226" i="2"/>
  <c r="R226" i="2" s="1"/>
  <c r="P225" i="2"/>
  <c r="O225" i="2"/>
  <c r="N225" i="2"/>
  <c r="M225" i="2"/>
  <c r="L225" i="2"/>
  <c r="K225" i="2"/>
  <c r="R225" i="2" s="1"/>
  <c r="P224" i="2"/>
  <c r="O224" i="2"/>
  <c r="N224" i="2"/>
  <c r="M224" i="2"/>
  <c r="L224" i="2"/>
  <c r="K224" i="2"/>
  <c r="Q224" i="2" s="1"/>
  <c r="P223" i="2"/>
  <c r="O223" i="2"/>
  <c r="N223" i="2"/>
  <c r="M223" i="2"/>
  <c r="L223" i="2"/>
  <c r="K223" i="2"/>
  <c r="R223" i="2" s="1"/>
  <c r="P222" i="2"/>
  <c r="O222" i="2"/>
  <c r="N222" i="2"/>
  <c r="M222" i="2"/>
  <c r="L222" i="2"/>
  <c r="K222" i="2"/>
  <c r="R222" i="2" s="1"/>
  <c r="P221" i="2"/>
  <c r="O221" i="2"/>
  <c r="N221" i="2"/>
  <c r="M221" i="2"/>
  <c r="L221" i="2"/>
  <c r="K221" i="2"/>
  <c r="R221" i="2" s="1"/>
  <c r="P220" i="2"/>
  <c r="O220" i="2"/>
  <c r="N220" i="2"/>
  <c r="M220" i="2"/>
  <c r="L220" i="2"/>
  <c r="K220" i="2"/>
  <c r="Q220" i="2" s="1"/>
  <c r="P219" i="2"/>
  <c r="O219" i="2"/>
  <c r="N219" i="2"/>
  <c r="M219" i="2"/>
  <c r="L219" i="2"/>
  <c r="K219" i="2"/>
  <c r="R219" i="2" s="1"/>
  <c r="P218" i="2"/>
  <c r="O218" i="2"/>
  <c r="N218" i="2"/>
  <c r="M218" i="2"/>
  <c r="L218" i="2"/>
  <c r="K218" i="2"/>
  <c r="R218" i="2" s="1"/>
  <c r="P217" i="2"/>
  <c r="O217" i="2"/>
  <c r="N217" i="2"/>
  <c r="M217" i="2"/>
  <c r="L217" i="2"/>
  <c r="K217" i="2"/>
  <c r="P216" i="2"/>
  <c r="O216" i="2"/>
  <c r="N216" i="2"/>
  <c r="M216" i="2"/>
  <c r="L216" i="2"/>
  <c r="K216" i="2"/>
  <c r="P215" i="2"/>
  <c r="O215" i="2"/>
  <c r="N215" i="2"/>
  <c r="M215" i="2"/>
  <c r="L215" i="2"/>
  <c r="K215" i="2"/>
  <c r="P214" i="2"/>
  <c r="O214" i="2"/>
  <c r="N214" i="2"/>
  <c r="M214" i="2"/>
  <c r="L214" i="2"/>
  <c r="K214" i="2"/>
  <c r="R214" i="2" s="1"/>
  <c r="P213" i="2"/>
  <c r="O213" i="2"/>
  <c r="N213" i="2"/>
  <c r="M213" i="2"/>
  <c r="L213" i="2"/>
  <c r="K213" i="2"/>
  <c r="R213" i="2" s="1"/>
  <c r="P212" i="2"/>
  <c r="O212" i="2"/>
  <c r="N212" i="2"/>
  <c r="M212" i="2"/>
  <c r="L212" i="2"/>
  <c r="K212" i="2"/>
  <c r="R212" i="2" s="1"/>
  <c r="P211" i="2"/>
  <c r="O211" i="2"/>
  <c r="N211" i="2"/>
  <c r="M211" i="2"/>
  <c r="L211" i="2"/>
  <c r="K211" i="2"/>
  <c r="R211" i="2" s="1"/>
  <c r="P210" i="2"/>
  <c r="O210" i="2"/>
  <c r="N210" i="2"/>
  <c r="M210" i="2"/>
  <c r="L210" i="2"/>
  <c r="K210" i="2"/>
  <c r="R210" i="2" s="1"/>
  <c r="P209" i="2"/>
  <c r="O209" i="2"/>
  <c r="N209" i="2"/>
  <c r="M209" i="2"/>
  <c r="L209" i="2"/>
  <c r="K209" i="2"/>
  <c r="P208" i="2"/>
  <c r="O208" i="2"/>
  <c r="N208" i="2"/>
  <c r="M208" i="2"/>
  <c r="L208" i="2"/>
  <c r="K208" i="2"/>
  <c r="R208" i="2" s="1"/>
  <c r="P207" i="2"/>
  <c r="O207" i="2"/>
  <c r="N207" i="2"/>
  <c r="M207" i="2"/>
  <c r="L207" i="2"/>
  <c r="K207" i="2"/>
  <c r="P206" i="2"/>
  <c r="O206" i="2"/>
  <c r="N206" i="2"/>
  <c r="M206" i="2"/>
  <c r="L206" i="2"/>
  <c r="K206" i="2"/>
  <c r="R206" i="2" s="1"/>
  <c r="P205" i="2"/>
  <c r="O205" i="2"/>
  <c r="N205" i="2"/>
  <c r="M205" i="2"/>
  <c r="L205" i="2"/>
  <c r="K205" i="2"/>
  <c r="R205" i="2" s="1"/>
  <c r="P204" i="2"/>
  <c r="O204" i="2"/>
  <c r="N204" i="2"/>
  <c r="M204" i="2"/>
  <c r="L204" i="2"/>
  <c r="K204" i="2"/>
  <c r="P203" i="2"/>
  <c r="O203" i="2"/>
  <c r="N203" i="2"/>
  <c r="M203" i="2"/>
  <c r="L203" i="2"/>
  <c r="K203" i="2"/>
  <c r="P202" i="2"/>
  <c r="O202" i="2"/>
  <c r="N202" i="2"/>
  <c r="M202" i="2"/>
  <c r="L202" i="2"/>
  <c r="K202" i="2"/>
  <c r="Q202" i="2" s="1"/>
  <c r="P201" i="2"/>
  <c r="O201" i="2"/>
  <c r="N201" i="2"/>
  <c r="M201" i="2"/>
  <c r="L201" i="2"/>
  <c r="K201" i="2"/>
  <c r="P200" i="2"/>
  <c r="O200" i="2"/>
  <c r="N200" i="2"/>
  <c r="M200" i="2"/>
  <c r="L200" i="2"/>
  <c r="K200" i="2"/>
  <c r="P199" i="2"/>
  <c r="O199" i="2"/>
  <c r="N199" i="2"/>
  <c r="M199" i="2"/>
  <c r="L199" i="2"/>
  <c r="K199" i="2"/>
  <c r="P198" i="2"/>
  <c r="O198" i="2"/>
  <c r="N198" i="2"/>
  <c r="M198" i="2"/>
  <c r="L198" i="2"/>
  <c r="K198" i="2"/>
  <c r="P197" i="2"/>
  <c r="O197" i="2"/>
  <c r="N197" i="2"/>
  <c r="M197" i="2"/>
  <c r="L197" i="2"/>
  <c r="K197" i="2"/>
  <c r="R197" i="2" s="1"/>
  <c r="P196" i="2"/>
  <c r="O196" i="2"/>
  <c r="N196" i="2"/>
  <c r="M196" i="2"/>
  <c r="L196" i="2"/>
  <c r="K196" i="2"/>
  <c r="R196" i="2" s="1"/>
  <c r="P195" i="2"/>
  <c r="O195" i="2"/>
  <c r="N195" i="2"/>
  <c r="M195" i="2"/>
  <c r="L195" i="2"/>
  <c r="K195" i="2"/>
  <c r="R195" i="2" s="1"/>
  <c r="P194" i="2"/>
  <c r="O194" i="2"/>
  <c r="N194" i="2"/>
  <c r="M194" i="2"/>
  <c r="L194" i="2"/>
  <c r="K194" i="2"/>
  <c r="R194" i="2" s="1"/>
  <c r="P193" i="2"/>
  <c r="O193" i="2"/>
  <c r="N193" i="2"/>
  <c r="M193" i="2"/>
  <c r="L193" i="2"/>
  <c r="K193" i="2"/>
  <c r="P192" i="2"/>
  <c r="O192" i="2"/>
  <c r="N192" i="2"/>
  <c r="M192" i="2"/>
  <c r="L192" i="2"/>
  <c r="K192" i="2"/>
  <c r="P191" i="2"/>
  <c r="O191" i="2"/>
  <c r="N191" i="2"/>
  <c r="M191" i="2"/>
  <c r="L191" i="2"/>
  <c r="K191" i="2"/>
  <c r="R191" i="2" s="1"/>
  <c r="P190" i="2"/>
  <c r="O190" i="2"/>
  <c r="N190" i="2"/>
  <c r="M190" i="2"/>
  <c r="L190" i="2"/>
  <c r="K190" i="2"/>
  <c r="P189" i="2"/>
  <c r="O189" i="2"/>
  <c r="N189" i="2"/>
  <c r="M189" i="2"/>
  <c r="L189" i="2"/>
  <c r="K189" i="2"/>
  <c r="R189" i="2" s="1"/>
  <c r="P188" i="2"/>
  <c r="O188" i="2"/>
  <c r="N188" i="2"/>
  <c r="M188" i="2"/>
  <c r="L188" i="2"/>
  <c r="K188" i="2"/>
  <c r="Q188" i="2" s="1"/>
  <c r="P187" i="2"/>
  <c r="O187" i="2"/>
  <c r="N187" i="2"/>
  <c r="M187" i="2"/>
  <c r="L187" i="2"/>
  <c r="K187" i="2"/>
  <c r="R187" i="2" s="1"/>
  <c r="P186" i="2"/>
  <c r="O186" i="2"/>
  <c r="N186" i="2"/>
  <c r="M186" i="2"/>
  <c r="L186" i="2"/>
  <c r="K186" i="2"/>
  <c r="Q186" i="2" s="1"/>
  <c r="P185" i="2"/>
  <c r="O185" i="2"/>
  <c r="N185" i="2"/>
  <c r="M185" i="2"/>
  <c r="L185" i="2"/>
  <c r="K185" i="2"/>
  <c r="R185" i="2" s="1"/>
  <c r="P184" i="2"/>
  <c r="O184" i="2"/>
  <c r="N184" i="2"/>
  <c r="M184" i="2"/>
  <c r="L184" i="2"/>
  <c r="K184" i="2"/>
  <c r="R184" i="2" s="1"/>
  <c r="P183" i="2"/>
  <c r="O183" i="2"/>
  <c r="N183" i="2"/>
  <c r="M183" i="2"/>
  <c r="L183" i="2"/>
  <c r="K183" i="2"/>
  <c r="R183" i="2" s="1"/>
  <c r="P182" i="2"/>
  <c r="O182" i="2"/>
  <c r="N182" i="2"/>
  <c r="M182" i="2"/>
  <c r="L182" i="2"/>
  <c r="K182" i="2"/>
  <c r="R182" i="2" s="1"/>
  <c r="P181" i="2"/>
  <c r="O181" i="2"/>
  <c r="N181" i="2"/>
  <c r="M181" i="2"/>
  <c r="L181" i="2"/>
  <c r="K181" i="2"/>
  <c r="R181" i="2" s="1"/>
  <c r="P180" i="2"/>
  <c r="O180" i="2"/>
  <c r="N180" i="2"/>
  <c r="M180" i="2"/>
  <c r="L180" i="2"/>
  <c r="K180" i="2"/>
  <c r="P179" i="2"/>
  <c r="O179" i="2"/>
  <c r="N179" i="2"/>
  <c r="M179" i="2"/>
  <c r="L179" i="2"/>
  <c r="K179" i="2"/>
  <c r="R179" i="2" s="1"/>
  <c r="P178" i="2"/>
  <c r="O178" i="2"/>
  <c r="N178" i="2"/>
  <c r="M178" i="2"/>
  <c r="L178" i="2"/>
  <c r="K178" i="2"/>
  <c r="P177" i="2"/>
  <c r="O177" i="2"/>
  <c r="N177" i="2"/>
  <c r="M177" i="2"/>
  <c r="L177" i="2"/>
  <c r="K177" i="2"/>
  <c r="Q177" i="2" s="1"/>
  <c r="P176" i="2"/>
  <c r="O176" i="2"/>
  <c r="N176" i="2"/>
  <c r="M176" i="2"/>
  <c r="L176" i="2"/>
  <c r="K176" i="2"/>
  <c r="P175" i="2"/>
  <c r="O175" i="2"/>
  <c r="N175" i="2"/>
  <c r="M175" i="2"/>
  <c r="L175" i="2"/>
  <c r="K175" i="2"/>
  <c r="R175" i="2" s="1"/>
  <c r="P174" i="2"/>
  <c r="O174" i="2"/>
  <c r="N174" i="2"/>
  <c r="M174" i="2"/>
  <c r="L174" i="2"/>
  <c r="K174" i="2"/>
  <c r="P173" i="2"/>
  <c r="O173" i="2"/>
  <c r="N173" i="2"/>
  <c r="M173" i="2"/>
  <c r="L173" i="2"/>
  <c r="K173" i="2"/>
  <c r="R173" i="2" s="1"/>
  <c r="P172" i="2"/>
  <c r="O172" i="2"/>
  <c r="N172" i="2"/>
  <c r="M172" i="2"/>
  <c r="L172" i="2"/>
  <c r="K172" i="2"/>
  <c r="P171" i="2"/>
  <c r="O171" i="2"/>
  <c r="N171" i="2"/>
  <c r="M171" i="2"/>
  <c r="L171" i="2"/>
  <c r="K171" i="2"/>
  <c r="R171" i="2" s="1"/>
  <c r="P170" i="2"/>
  <c r="O170" i="2"/>
  <c r="N170" i="2"/>
  <c r="M170" i="2"/>
  <c r="L170" i="2"/>
  <c r="K170" i="2"/>
  <c r="P169" i="2"/>
  <c r="O169" i="2"/>
  <c r="N169" i="2"/>
  <c r="M169" i="2"/>
  <c r="L169" i="2"/>
  <c r="K169" i="2"/>
  <c r="R169" i="2" s="1"/>
  <c r="P168" i="2"/>
  <c r="O168" i="2"/>
  <c r="N168" i="2"/>
  <c r="M168" i="2"/>
  <c r="L168" i="2"/>
  <c r="K168" i="2"/>
  <c r="P167" i="2"/>
  <c r="O167" i="2"/>
  <c r="N167" i="2"/>
  <c r="M167" i="2"/>
  <c r="L167" i="2"/>
  <c r="K167" i="2"/>
  <c r="P166" i="2"/>
  <c r="O166" i="2"/>
  <c r="N166" i="2"/>
  <c r="M166" i="2"/>
  <c r="L166" i="2"/>
  <c r="K166" i="2"/>
  <c r="P165" i="2"/>
  <c r="O165" i="2"/>
  <c r="N165" i="2"/>
  <c r="M165" i="2"/>
  <c r="L165" i="2"/>
  <c r="K165" i="2"/>
  <c r="P164" i="2"/>
  <c r="O164" i="2"/>
  <c r="N164" i="2"/>
  <c r="M164" i="2"/>
  <c r="L164" i="2"/>
  <c r="K164" i="2"/>
  <c r="P163" i="2"/>
  <c r="O163" i="2"/>
  <c r="N163" i="2"/>
  <c r="M163" i="2"/>
  <c r="L163" i="2"/>
  <c r="K163" i="2"/>
  <c r="P162" i="2"/>
  <c r="O162" i="2"/>
  <c r="N162" i="2"/>
  <c r="M162" i="2"/>
  <c r="L162" i="2"/>
  <c r="K162" i="2"/>
  <c r="P161" i="2"/>
  <c r="O161" i="2"/>
  <c r="N161" i="2"/>
  <c r="M161" i="2"/>
  <c r="L161" i="2"/>
  <c r="K161" i="2"/>
  <c r="Q161" i="2" s="1"/>
  <c r="P160" i="2"/>
  <c r="O160" i="2"/>
  <c r="N160" i="2"/>
  <c r="M160" i="2"/>
  <c r="L160" i="2"/>
  <c r="K160" i="2"/>
  <c r="P159" i="2"/>
  <c r="O159" i="2"/>
  <c r="N159" i="2"/>
  <c r="M159" i="2"/>
  <c r="L159" i="2"/>
  <c r="K159" i="2"/>
  <c r="P158" i="2"/>
  <c r="O158" i="2"/>
  <c r="N158" i="2"/>
  <c r="M158" i="2"/>
  <c r="L158" i="2"/>
  <c r="K158" i="2"/>
  <c r="P157" i="2"/>
  <c r="O157" i="2"/>
  <c r="N157" i="2"/>
  <c r="M157" i="2"/>
  <c r="L157" i="2"/>
  <c r="K157" i="2"/>
  <c r="R157" i="2" s="1"/>
  <c r="P156" i="2"/>
  <c r="O156" i="2"/>
  <c r="N156" i="2"/>
  <c r="M156" i="2"/>
  <c r="L156" i="2"/>
  <c r="K156" i="2"/>
  <c r="P155" i="2"/>
  <c r="O155" i="2"/>
  <c r="N155" i="2"/>
  <c r="M155" i="2"/>
  <c r="L155" i="2"/>
  <c r="K155" i="2"/>
  <c r="Q155" i="2" s="1"/>
  <c r="P154" i="2"/>
  <c r="O154" i="2"/>
  <c r="N154" i="2"/>
  <c r="M154" i="2"/>
  <c r="L154" i="2"/>
  <c r="K154" i="2"/>
  <c r="P153" i="2"/>
  <c r="O153" i="2"/>
  <c r="N153" i="2"/>
  <c r="M153" i="2"/>
  <c r="L153" i="2"/>
  <c r="K153" i="2"/>
  <c r="P152" i="2"/>
  <c r="O152" i="2"/>
  <c r="N152" i="2"/>
  <c r="M152" i="2"/>
  <c r="L152" i="2"/>
  <c r="K152" i="2"/>
  <c r="P151" i="2"/>
  <c r="O151" i="2"/>
  <c r="N151" i="2"/>
  <c r="M151" i="2"/>
  <c r="L151" i="2"/>
  <c r="K151" i="2"/>
  <c r="P150" i="2"/>
  <c r="O150" i="2"/>
  <c r="N150" i="2"/>
  <c r="M150" i="2"/>
  <c r="L150" i="2"/>
  <c r="K150" i="2"/>
  <c r="P149" i="2"/>
  <c r="O149" i="2"/>
  <c r="N149" i="2"/>
  <c r="M149" i="2"/>
  <c r="L149" i="2"/>
  <c r="K149" i="2"/>
  <c r="P148" i="2"/>
  <c r="O148" i="2"/>
  <c r="N148" i="2"/>
  <c r="M148" i="2"/>
  <c r="L148" i="2"/>
  <c r="K148" i="2"/>
  <c r="P147" i="2"/>
  <c r="O147" i="2"/>
  <c r="N147" i="2"/>
  <c r="M147" i="2"/>
  <c r="L147" i="2"/>
  <c r="K147" i="2"/>
  <c r="P146" i="2"/>
  <c r="O146" i="2"/>
  <c r="N146" i="2"/>
  <c r="M146" i="2"/>
  <c r="L146" i="2"/>
  <c r="K146" i="2"/>
  <c r="Q146" i="2" s="1"/>
  <c r="P145" i="2"/>
  <c r="O145" i="2"/>
  <c r="N145" i="2"/>
  <c r="M145" i="2"/>
  <c r="L145" i="2"/>
  <c r="K145" i="2"/>
  <c r="R145" i="2" s="1"/>
  <c r="P144" i="2"/>
  <c r="O144" i="2"/>
  <c r="N144" i="2"/>
  <c r="M144" i="2"/>
  <c r="L144" i="2"/>
  <c r="K144" i="2"/>
  <c r="R144" i="2" s="1"/>
  <c r="P143" i="2"/>
  <c r="O143" i="2"/>
  <c r="N143" i="2"/>
  <c r="M143" i="2"/>
  <c r="L143" i="2"/>
  <c r="K143" i="2"/>
  <c r="P142" i="2"/>
  <c r="O142" i="2"/>
  <c r="N142" i="2"/>
  <c r="M142" i="2"/>
  <c r="L142" i="2"/>
  <c r="K142" i="2"/>
  <c r="R142" i="2" s="1"/>
  <c r="P141" i="2"/>
  <c r="O141" i="2"/>
  <c r="N141" i="2"/>
  <c r="M141" i="2"/>
  <c r="L141" i="2"/>
  <c r="K141" i="2"/>
  <c r="P140" i="2"/>
  <c r="O140" i="2"/>
  <c r="N140" i="2"/>
  <c r="M140" i="2"/>
  <c r="L140" i="2"/>
  <c r="K140" i="2"/>
  <c r="P139" i="2"/>
  <c r="O139" i="2"/>
  <c r="N139" i="2"/>
  <c r="M139" i="2"/>
  <c r="L139" i="2"/>
  <c r="K139" i="2"/>
  <c r="P138" i="2"/>
  <c r="O138" i="2"/>
  <c r="N138" i="2"/>
  <c r="M138" i="2"/>
  <c r="L138" i="2"/>
  <c r="K138" i="2"/>
  <c r="Q138" i="2" s="1"/>
  <c r="P137" i="2"/>
  <c r="O137" i="2"/>
  <c r="N137" i="2"/>
  <c r="M137" i="2"/>
  <c r="L137" i="2"/>
  <c r="K137" i="2"/>
  <c r="R137" i="2" s="1"/>
  <c r="P136" i="2"/>
  <c r="O136" i="2"/>
  <c r="N136" i="2"/>
  <c r="M136" i="2"/>
  <c r="L136" i="2"/>
  <c r="K136" i="2"/>
  <c r="R136" i="2" s="1"/>
  <c r="P135" i="2"/>
  <c r="O135" i="2"/>
  <c r="N135" i="2"/>
  <c r="M135" i="2"/>
  <c r="L135" i="2"/>
  <c r="K135" i="2"/>
  <c r="R135" i="2" s="1"/>
  <c r="P134" i="2"/>
  <c r="O134" i="2"/>
  <c r="N134" i="2"/>
  <c r="M134" i="2"/>
  <c r="L134" i="2"/>
  <c r="K134" i="2"/>
  <c r="Q134" i="2" s="1"/>
  <c r="P133" i="2"/>
  <c r="O133" i="2"/>
  <c r="N133" i="2"/>
  <c r="M133" i="2"/>
  <c r="L133" i="2"/>
  <c r="K133" i="2"/>
  <c r="R133" i="2" s="1"/>
  <c r="P132" i="2"/>
  <c r="O132" i="2"/>
  <c r="N132" i="2"/>
  <c r="M132" i="2"/>
  <c r="L132" i="2"/>
  <c r="K132" i="2"/>
  <c r="R132" i="2" s="1"/>
  <c r="P131" i="2"/>
  <c r="O131" i="2"/>
  <c r="N131" i="2"/>
  <c r="M131" i="2"/>
  <c r="L131" i="2"/>
  <c r="K131" i="2"/>
  <c r="R131" i="2" s="1"/>
  <c r="P130" i="2"/>
  <c r="O130" i="2"/>
  <c r="N130" i="2"/>
  <c r="M130" i="2"/>
  <c r="L130" i="2"/>
  <c r="K130" i="2"/>
  <c r="P129" i="2"/>
  <c r="O129" i="2"/>
  <c r="N129" i="2"/>
  <c r="M129" i="2"/>
  <c r="L129" i="2"/>
  <c r="K129" i="2"/>
  <c r="R129" i="2" s="1"/>
  <c r="P128" i="2"/>
  <c r="O128" i="2"/>
  <c r="N128" i="2"/>
  <c r="M128" i="2"/>
  <c r="L128" i="2"/>
  <c r="K128" i="2"/>
  <c r="R128" i="2" s="1"/>
  <c r="P127" i="2"/>
  <c r="O127" i="2"/>
  <c r="N127" i="2"/>
  <c r="M127" i="2"/>
  <c r="L127" i="2"/>
  <c r="K127" i="2"/>
  <c r="R127" i="2" s="1"/>
  <c r="P126" i="2"/>
  <c r="O126" i="2"/>
  <c r="N126" i="2"/>
  <c r="M126" i="2"/>
  <c r="L126" i="2"/>
  <c r="K126" i="2"/>
  <c r="Q126" i="2" s="1"/>
  <c r="P125" i="2"/>
  <c r="O125" i="2"/>
  <c r="N125" i="2"/>
  <c r="M125" i="2"/>
  <c r="L125" i="2"/>
  <c r="K125" i="2"/>
  <c r="R125" i="2" s="1"/>
  <c r="P124" i="2"/>
  <c r="O124" i="2"/>
  <c r="N124" i="2"/>
  <c r="M124" i="2"/>
  <c r="L124" i="2"/>
  <c r="K124" i="2"/>
  <c r="R124" i="2" s="1"/>
  <c r="P123" i="2"/>
  <c r="O123" i="2"/>
  <c r="N123" i="2"/>
  <c r="M123" i="2"/>
  <c r="L123" i="2"/>
  <c r="K123" i="2"/>
  <c r="R123" i="2" s="1"/>
  <c r="P122" i="2"/>
  <c r="O122" i="2"/>
  <c r="N122" i="2"/>
  <c r="M122" i="2"/>
  <c r="L122" i="2"/>
  <c r="K122" i="2"/>
  <c r="P121" i="2"/>
  <c r="O121" i="2"/>
  <c r="N121" i="2"/>
  <c r="M121" i="2"/>
  <c r="L121" i="2"/>
  <c r="K121" i="2"/>
  <c r="Q121" i="2" s="1"/>
  <c r="P120" i="2"/>
  <c r="O120" i="2"/>
  <c r="N120" i="2"/>
  <c r="M120" i="2"/>
  <c r="L120" i="2"/>
  <c r="K120" i="2"/>
  <c r="P119" i="2"/>
  <c r="O119" i="2"/>
  <c r="N119" i="2"/>
  <c r="M119" i="2"/>
  <c r="L119" i="2"/>
  <c r="K119" i="2"/>
  <c r="Q119" i="2" s="1"/>
  <c r="P118" i="2"/>
  <c r="O118" i="2"/>
  <c r="N118" i="2"/>
  <c r="M118" i="2"/>
  <c r="L118" i="2"/>
  <c r="K118" i="2"/>
  <c r="P117" i="2"/>
  <c r="O117" i="2"/>
  <c r="N117" i="2"/>
  <c r="M117" i="2"/>
  <c r="L117" i="2"/>
  <c r="K117" i="2"/>
  <c r="R117" i="2" s="1"/>
  <c r="P116" i="2"/>
  <c r="O116" i="2"/>
  <c r="N116" i="2"/>
  <c r="M116" i="2"/>
  <c r="L116" i="2"/>
  <c r="K116" i="2"/>
  <c r="P115" i="2"/>
  <c r="O115" i="2"/>
  <c r="N115" i="2"/>
  <c r="M115" i="2"/>
  <c r="L115" i="2"/>
  <c r="K115" i="2"/>
  <c r="R115" i="2" s="1"/>
  <c r="P114" i="2"/>
  <c r="O114" i="2"/>
  <c r="N114" i="2"/>
  <c r="M114" i="2"/>
  <c r="L114" i="2"/>
  <c r="K114" i="2"/>
  <c r="P113" i="2"/>
  <c r="O113" i="2"/>
  <c r="N113" i="2"/>
  <c r="M113" i="2"/>
  <c r="L113" i="2"/>
  <c r="K113" i="2"/>
  <c r="P112" i="2"/>
  <c r="O112" i="2"/>
  <c r="N112" i="2"/>
  <c r="M112" i="2"/>
  <c r="L112" i="2"/>
  <c r="K112" i="2"/>
  <c r="Q112" i="2" s="1"/>
  <c r="P111" i="2"/>
  <c r="O111" i="2"/>
  <c r="N111" i="2"/>
  <c r="M111" i="2"/>
  <c r="L111" i="2"/>
  <c r="K111" i="2"/>
  <c r="P110" i="2"/>
  <c r="O110" i="2"/>
  <c r="N110" i="2"/>
  <c r="M110" i="2"/>
  <c r="L110" i="2"/>
  <c r="K110" i="2"/>
  <c r="R110" i="2" s="1"/>
  <c r="P109" i="2"/>
  <c r="O109" i="2"/>
  <c r="N109" i="2"/>
  <c r="M109" i="2"/>
  <c r="L109" i="2"/>
  <c r="K109" i="2"/>
  <c r="P108" i="2"/>
  <c r="O108" i="2"/>
  <c r="N108" i="2"/>
  <c r="M108" i="2"/>
  <c r="L108" i="2"/>
  <c r="K108" i="2"/>
  <c r="R108" i="2" s="1"/>
  <c r="P107" i="2"/>
  <c r="O107" i="2"/>
  <c r="N107" i="2"/>
  <c r="M107" i="2"/>
  <c r="L107" i="2"/>
  <c r="K107" i="2"/>
  <c r="P106" i="2"/>
  <c r="O106" i="2"/>
  <c r="N106" i="2"/>
  <c r="M106" i="2"/>
  <c r="L106" i="2"/>
  <c r="K106" i="2"/>
  <c r="P105" i="2"/>
  <c r="O105" i="2"/>
  <c r="N105" i="2"/>
  <c r="M105" i="2"/>
  <c r="L105" i="2"/>
  <c r="K105" i="2"/>
  <c r="P104" i="2"/>
  <c r="O104" i="2"/>
  <c r="N104" i="2"/>
  <c r="M104" i="2"/>
  <c r="L104" i="2"/>
  <c r="K104" i="2"/>
  <c r="R104" i="2" s="1"/>
  <c r="P103" i="2"/>
  <c r="O103" i="2"/>
  <c r="N103" i="2"/>
  <c r="M103" i="2"/>
  <c r="L103" i="2"/>
  <c r="K103" i="2"/>
  <c r="P102" i="2"/>
  <c r="O102" i="2"/>
  <c r="N102" i="2"/>
  <c r="M102" i="2"/>
  <c r="L102" i="2"/>
  <c r="K102" i="2"/>
  <c r="P101" i="2"/>
  <c r="O101" i="2"/>
  <c r="N101" i="2"/>
  <c r="M101" i="2"/>
  <c r="L101" i="2"/>
  <c r="K101" i="2"/>
  <c r="P100" i="2"/>
  <c r="O100" i="2"/>
  <c r="N100" i="2"/>
  <c r="M100" i="2"/>
  <c r="L100" i="2"/>
  <c r="K100" i="2"/>
  <c r="P99" i="2"/>
  <c r="O99" i="2"/>
  <c r="N99" i="2"/>
  <c r="M99" i="2"/>
  <c r="L99" i="2"/>
  <c r="K99" i="2"/>
  <c r="P98" i="2"/>
  <c r="O98" i="2"/>
  <c r="N98" i="2"/>
  <c r="M98" i="2"/>
  <c r="L98" i="2"/>
  <c r="K98" i="2"/>
  <c r="Q98" i="2" s="1"/>
  <c r="P97" i="2"/>
  <c r="O97" i="2"/>
  <c r="N97" i="2"/>
  <c r="M97" i="2"/>
  <c r="L97" i="2"/>
  <c r="K97" i="2"/>
  <c r="P96" i="2"/>
  <c r="O96" i="2"/>
  <c r="N96" i="2"/>
  <c r="M96" i="2"/>
  <c r="L96" i="2"/>
  <c r="K96" i="2"/>
  <c r="R96" i="2" s="1"/>
  <c r="P95" i="2"/>
  <c r="O95" i="2"/>
  <c r="N95" i="2"/>
  <c r="M95" i="2"/>
  <c r="L95" i="2"/>
  <c r="K95" i="2"/>
  <c r="P94" i="2"/>
  <c r="O94" i="2"/>
  <c r="N94" i="2"/>
  <c r="M94" i="2"/>
  <c r="L94" i="2"/>
  <c r="K94" i="2"/>
  <c r="Q94" i="2" s="1"/>
  <c r="P93" i="2"/>
  <c r="O93" i="2"/>
  <c r="N93" i="2"/>
  <c r="M93" i="2"/>
  <c r="L93" i="2"/>
  <c r="K93" i="2"/>
  <c r="P92" i="2"/>
  <c r="O92" i="2"/>
  <c r="N92" i="2"/>
  <c r="M92" i="2"/>
  <c r="L92" i="2"/>
  <c r="K92" i="2"/>
  <c r="R92" i="2" s="1"/>
  <c r="P91" i="2"/>
  <c r="O91" i="2"/>
  <c r="N91" i="2"/>
  <c r="M91" i="2"/>
  <c r="L91" i="2"/>
  <c r="K91" i="2"/>
  <c r="P90" i="2"/>
  <c r="O90" i="2"/>
  <c r="N90" i="2"/>
  <c r="M90" i="2"/>
  <c r="L90" i="2"/>
  <c r="K90" i="2"/>
  <c r="Q90" i="2" s="1"/>
  <c r="P89" i="2"/>
  <c r="O89" i="2"/>
  <c r="N89" i="2"/>
  <c r="M89" i="2"/>
  <c r="L89" i="2"/>
  <c r="K89" i="2"/>
  <c r="P88" i="2"/>
  <c r="O88" i="2"/>
  <c r="N88" i="2"/>
  <c r="M88" i="2"/>
  <c r="L88" i="2"/>
  <c r="K88" i="2"/>
  <c r="R88" i="2" s="1"/>
  <c r="P87" i="2"/>
  <c r="O87" i="2"/>
  <c r="N87" i="2"/>
  <c r="M87" i="2"/>
  <c r="L87" i="2"/>
  <c r="K87" i="2"/>
  <c r="P86" i="2"/>
  <c r="O86" i="2"/>
  <c r="N86" i="2"/>
  <c r="M86" i="2"/>
  <c r="L86" i="2"/>
  <c r="K86" i="2"/>
  <c r="P85" i="2"/>
  <c r="O85" i="2"/>
  <c r="N85" i="2"/>
  <c r="M85" i="2"/>
  <c r="L85" i="2"/>
  <c r="K85" i="2"/>
  <c r="P84" i="2"/>
  <c r="O84" i="2"/>
  <c r="N84" i="2"/>
  <c r="M84" i="2"/>
  <c r="L84" i="2"/>
  <c r="K84" i="2"/>
  <c r="R84" i="2" s="1"/>
  <c r="P83" i="2"/>
  <c r="O83" i="2"/>
  <c r="N83" i="2"/>
  <c r="M83" i="2"/>
  <c r="L83" i="2"/>
  <c r="K83" i="2"/>
  <c r="P82" i="2"/>
  <c r="O82" i="2"/>
  <c r="N82" i="2"/>
  <c r="M82" i="2"/>
  <c r="L82" i="2"/>
  <c r="K82" i="2"/>
  <c r="Q82" i="2" s="1"/>
  <c r="P81" i="2"/>
  <c r="O81" i="2"/>
  <c r="N81" i="2"/>
  <c r="M81" i="2"/>
  <c r="L81" i="2"/>
  <c r="K81" i="2"/>
  <c r="P80" i="2"/>
  <c r="O80" i="2"/>
  <c r="N80" i="2"/>
  <c r="M80" i="2"/>
  <c r="L80" i="2"/>
  <c r="K80" i="2"/>
  <c r="R80" i="2" s="1"/>
  <c r="P79" i="2"/>
  <c r="O79" i="2"/>
  <c r="N79" i="2"/>
  <c r="M79" i="2"/>
  <c r="L79" i="2"/>
  <c r="K79" i="2"/>
  <c r="P78" i="2"/>
  <c r="O78" i="2"/>
  <c r="N78" i="2"/>
  <c r="M78" i="2"/>
  <c r="L78" i="2"/>
  <c r="K78" i="2"/>
  <c r="Q78" i="2" s="1"/>
  <c r="P77" i="2"/>
  <c r="O77" i="2"/>
  <c r="N77" i="2"/>
  <c r="M77" i="2"/>
  <c r="L77" i="2"/>
  <c r="K77" i="2"/>
  <c r="P76" i="2"/>
  <c r="O76" i="2"/>
  <c r="N76" i="2"/>
  <c r="M76" i="2"/>
  <c r="L76" i="2"/>
  <c r="K76" i="2"/>
  <c r="P75" i="2"/>
  <c r="O75" i="2"/>
  <c r="N75" i="2"/>
  <c r="M75" i="2"/>
  <c r="L75" i="2"/>
  <c r="K75" i="2"/>
  <c r="P74" i="2"/>
  <c r="O74" i="2"/>
  <c r="N74" i="2"/>
  <c r="M74" i="2"/>
  <c r="L74" i="2"/>
  <c r="K74" i="2"/>
  <c r="R74" i="2" s="1"/>
  <c r="P73" i="2"/>
  <c r="O73" i="2"/>
  <c r="N73" i="2"/>
  <c r="M73" i="2"/>
  <c r="L73" i="2"/>
  <c r="K73" i="2"/>
  <c r="P72" i="2"/>
  <c r="O72" i="2"/>
  <c r="N72" i="2"/>
  <c r="M72" i="2"/>
  <c r="L72" i="2"/>
  <c r="K72" i="2"/>
  <c r="R72" i="2" s="1"/>
  <c r="P71" i="2"/>
  <c r="O71" i="2"/>
  <c r="N71" i="2"/>
  <c r="M71" i="2"/>
  <c r="L71" i="2"/>
  <c r="K71" i="2"/>
  <c r="Q71" i="2" s="1"/>
  <c r="P70" i="2"/>
  <c r="O70" i="2"/>
  <c r="N70" i="2"/>
  <c r="M70" i="2"/>
  <c r="L70" i="2"/>
  <c r="K70" i="2"/>
  <c r="R70" i="2" s="1"/>
  <c r="P69" i="2"/>
  <c r="O69" i="2"/>
  <c r="N69" i="2"/>
  <c r="M69" i="2"/>
  <c r="L69" i="2"/>
  <c r="K69" i="2"/>
  <c r="Q69" i="2" s="1"/>
  <c r="P68" i="2"/>
  <c r="O68" i="2"/>
  <c r="N68" i="2"/>
  <c r="M68" i="2"/>
  <c r="L68" i="2"/>
  <c r="K68" i="2"/>
  <c r="P67" i="2"/>
  <c r="O67" i="2"/>
  <c r="N67" i="2"/>
  <c r="M67" i="2"/>
  <c r="L67" i="2"/>
  <c r="K67" i="2"/>
  <c r="Q67" i="2" s="1"/>
  <c r="P66" i="2"/>
  <c r="O66" i="2"/>
  <c r="N66" i="2"/>
  <c r="M66" i="2"/>
  <c r="L66" i="2"/>
  <c r="K66" i="2"/>
  <c r="P65" i="2"/>
  <c r="O65" i="2"/>
  <c r="N65" i="2"/>
  <c r="M65" i="2"/>
  <c r="L65" i="2"/>
  <c r="K65" i="2"/>
  <c r="Q65" i="2" s="1"/>
  <c r="P64" i="2"/>
  <c r="O64" i="2"/>
  <c r="N64" i="2"/>
  <c r="M64" i="2"/>
  <c r="L64" i="2"/>
  <c r="K64" i="2"/>
  <c r="P63" i="2"/>
  <c r="O63" i="2"/>
  <c r="N63" i="2"/>
  <c r="M63" i="2"/>
  <c r="L63" i="2"/>
  <c r="K63" i="2"/>
  <c r="P62" i="2"/>
  <c r="O62" i="2"/>
  <c r="N62" i="2"/>
  <c r="M62" i="2"/>
  <c r="L62" i="2"/>
  <c r="K62" i="2"/>
  <c r="P61" i="2"/>
  <c r="O61" i="2"/>
  <c r="N61" i="2"/>
  <c r="M61" i="2"/>
  <c r="L61" i="2"/>
  <c r="K61" i="2"/>
  <c r="R61" i="2" s="1"/>
  <c r="P60" i="2"/>
  <c r="O60" i="2"/>
  <c r="N60" i="2"/>
  <c r="M60" i="2"/>
  <c r="L60" i="2"/>
  <c r="K60" i="2"/>
  <c r="P59" i="2"/>
  <c r="O59" i="2"/>
  <c r="N59" i="2"/>
  <c r="M59" i="2"/>
  <c r="L59" i="2"/>
  <c r="K59" i="2"/>
  <c r="R59" i="2" s="1"/>
  <c r="P58" i="2"/>
  <c r="O58" i="2"/>
  <c r="N58" i="2"/>
  <c r="M58" i="2"/>
  <c r="L58" i="2"/>
  <c r="K58" i="2"/>
  <c r="P57" i="2"/>
  <c r="O57" i="2"/>
  <c r="N57" i="2"/>
  <c r="M57" i="2"/>
  <c r="L57" i="2"/>
  <c r="K57" i="2"/>
  <c r="P56" i="2"/>
  <c r="O56" i="2"/>
  <c r="N56" i="2"/>
  <c r="M56" i="2"/>
  <c r="L56" i="2"/>
  <c r="K56" i="2"/>
  <c r="P55" i="2"/>
  <c r="O55" i="2"/>
  <c r="N55" i="2"/>
  <c r="M55" i="2"/>
  <c r="L55" i="2"/>
  <c r="K55" i="2"/>
  <c r="P54" i="2"/>
  <c r="O54" i="2"/>
  <c r="N54" i="2"/>
  <c r="M54" i="2"/>
  <c r="L54" i="2"/>
  <c r="K54" i="2"/>
  <c r="P53" i="2"/>
  <c r="O53" i="2"/>
  <c r="N53" i="2"/>
  <c r="M53" i="2"/>
  <c r="L53" i="2"/>
  <c r="K53" i="2"/>
  <c r="P52" i="2"/>
  <c r="O52" i="2"/>
  <c r="N52" i="2"/>
  <c r="M52" i="2"/>
  <c r="L52" i="2"/>
  <c r="K52" i="2"/>
  <c r="P51" i="2"/>
  <c r="O51" i="2"/>
  <c r="N51" i="2"/>
  <c r="M51" i="2"/>
  <c r="L51" i="2"/>
  <c r="K51" i="2"/>
  <c r="Q51" i="2" s="1"/>
  <c r="P50" i="2"/>
  <c r="O50" i="2"/>
  <c r="N50" i="2"/>
  <c r="M50" i="2"/>
  <c r="L50" i="2"/>
  <c r="K50" i="2"/>
  <c r="P49" i="2"/>
  <c r="O49" i="2"/>
  <c r="N49" i="2"/>
  <c r="M49" i="2"/>
  <c r="L49" i="2"/>
  <c r="K49" i="2"/>
  <c r="Q49" i="2" s="1"/>
  <c r="P48" i="2"/>
  <c r="O48" i="2"/>
  <c r="N48" i="2"/>
  <c r="M48" i="2"/>
  <c r="L48" i="2"/>
  <c r="K48" i="2"/>
  <c r="P47" i="2"/>
  <c r="O47" i="2"/>
  <c r="N47" i="2"/>
  <c r="M47" i="2"/>
  <c r="L47" i="2"/>
  <c r="K47" i="2"/>
  <c r="R47" i="2" s="1"/>
  <c r="P46" i="2"/>
  <c r="O46" i="2"/>
  <c r="N46" i="2"/>
  <c r="M46" i="2"/>
  <c r="L46" i="2"/>
  <c r="K46" i="2"/>
  <c r="P45" i="2"/>
  <c r="O45" i="2"/>
  <c r="N45" i="2"/>
  <c r="M45" i="2"/>
  <c r="L45" i="2"/>
  <c r="K45" i="2"/>
  <c r="R45" i="2" s="1"/>
  <c r="P44" i="2"/>
  <c r="O44" i="2"/>
  <c r="N44" i="2"/>
  <c r="M44" i="2"/>
  <c r="L44" i="2"/>
  <c r="K44" i="2"/>
  <c r="P43" i="2"/>
  <c r="O43" i="2"/>
  <c r="N43" i="2"/>
  <c r="M43" i="2"/>
  <c r="L43" i="2"/>
  <c r="K43" i="2"/>
  <c r="R43" i="2" s="1"/>
  <c r="P42" i="2"/>
  <c r="O42" i="2"/>
  <c r="N42" i="2"/>
  <c r="M42" i="2"/>
  <c r="L42" i="2"/>
  <c r="K42" i="2"/>
  <c r="P41" i="2"/>
  <c r="O41" i="2"/>
  <c r="N41" i="2"/>
  <c r="M41" i="2"/>
  <c r="L41" i="2"/>
  <c r="K41" i="2"/>
  <c r="Q41" i="2" s="1"/>
  <c r="P40" i="2"/>
  <c r="O40" i="2"/>
  <c r="N40" i="2"/>
  <c r="M40" i="2"/>
  <c r="L40" i="2"/>
  <c r="K40" i="2"/>
  <c r="P39" i="2"/>
  <c r="O39" i="2"/>
  <c r="N39" i="2"/>
  <c r="M39" i="2"/>
  <c r="L39" i="2"/>
  <c r="K39" i="2"/>
  <c r="P38" i="2"/>
  <c r="O38" i="2"/>
  <c r="N38" i="2"/>
  <c r="M38" i="2"/>
  <c r="L38" i="2"/>
  <c r="K38" i="2"/>
  <c r="R38" i="2" s="1"/>
  <c r="P37" i="2"/>
  <c r="O37" i="2"/>
  <c r="N37" i="2"/>
  <c r="M37" i="2"/>
  <c r="L37" i="2"/>
  <c r="K37" i="2"/>
  <c r="Q37" i="2" s="1"/>
  <c r="P36" i="2"/>
  <c r="O36" i="2"/>
  <c r="N36" i="2"/>
  <c r="M36" i="2"/>
  <c r="L36" i="2"/>
  <c r="K36" i="2"/>
  <c r="R36" i="2" s="1"/>
  <c r="P35" i="2"/>
  <c r="O35" i="2"/>
  <c r="N35" i="2"/>
  <c r="M35" i="2"/>
  <c r="L35" i="2"/>
  <c r="K35" i="2"/>
  <c r="R35" i="2" s="1"/>
  <c r="P34" i="2"/>
  <c r="O34" i="2"/>
  <c r="N34" i="2"/>
  <c r="M34" i="2"/>
  <c r="L34" i="2"/>
  <c r="K34" i="2"/>
  <c r="R34" i="2" s="1"/>
  <c r="P33" i="2"/>
  <c r="O33" i="2"/>
  <c r="N33" i="2"/>
  <c r="M33" i="2"/>
  <c r="L33" i="2"/>
  <c r="K33" i="2"/>
  <c r="P32" i="2"/>
  <c r="O32" i="2"/>
  <c r="N32" i="2"/>
  <c r="M32" i="2"/>
  <c r="L32" i="2"/>
  <c r="K32" i="2"/>
  <c r="Q32" i="2" s="1"/>
  <c r="P31" i="2"/>
  <c r="O31" i="2"/>
  <c r="N31" i="2"/>
  <c r="M31" i="2"/>
  <c r="L31" i="2"/>
  <c r="K31" i="2"/>
  <c r="P30" i="2"/>
  <c r="O30" i="2"/>
  <c r="N30" i="2"/>
  <c r="M30" i="2"/>
  <c r="L30" i="2"/>
  <c r="K30" i="2"/>
  <c r="Q30" i="2" s="1"/>
  <c r="P29" i="2"/>
  <c r="O29" i="2"/>
  <c r="N29" i="2"/>
  <c r="M29" i="2"/>
  <c r="L29" i="2"/>
  <c r="K29" i="2"/>
  <c r="P28" i="2"/>
  <c r="O28" i="2"/>
  <c r="N28" i="2"/>
  <c r="M28" i="2"/>
  <c r="L28" i="2"/>
  <c r="K28" i="2"/>
  <c r="P27" i="2"/>
  <c r="O27" i="2"/>
  <c r="N27" i="2"/>
  <c r="M27" i="2"/>
  <c r="L27" i="2"/>
  <c r="K27" i="2"/>
  <c r="Q27" i="2" s="1"/>
  <c r="P26" i="2"/>
  <c r="O26" i="2"/>
  <c r="N26" i="2"/>
  <c r="M26" i="2"/>
  <c r="L26" i="2"/>
  <c r="K26" i="2"/>
  <c r="Q26" i="2" s="1"/>
  <c r="P25" i="2"/>
  <c r="O25" i="2"/>
  <c r="N25" i="2"/>
  <c r="M25" i="2"/>
  <c r="L25" i="2"/>
  <c r="K25" i="2"/>
  <c r="R25" i="2" s="1"/>
  <c r="P24" i="2"/>
  <c r="O24" i="2"/>
  <c r="N24" i="2"/>
  <c r="M24" i="2"/>
  <c r="L24" i="2"/>
  <c r="K24" i="2"/>
  <c r="P23" i="2"/>
  <c r="O23" i="2"/>
  <c r="N23" i="2"/>
  <c r="M23" i="2"/>
  <c r="L23" i="2"/>
  <c r="K23" i="2"/>
  <c r="P22" i="2"/>
  <c r="O22" i="2"/>
  <c r="N22" i="2"/>
  <c r="M22" i="2"/>
  <c r="L22" i="2"/>
  <c r="K22" i="2"/>
  <c r="P21" i="2"/>
  <c r="O21" i="2"/>
  <c r="N21" i="2"/>
  <c r="M21" i="2"/>
  <c r="L21" i="2"/>
  <c r="K21" i="2"/>
  <c r="R21" i="2" s="1"/>
  <c r="P20" i="2"/>
  <c r="O20" i="2"/>
  <c r="N20" i="2"/>
  <c r="M20" i="2"/>
  <c r="L20" i="2"/>
  <c r="K20" i="2"/>
  <c r="P19" i="2"/>
  <c r="O19" i="2"/>
  <c r="N19" i="2"/>
  <c r="M19" i="2"/>
  <c r="L19" i="2"/>
  <c r="K19" i="2"/>
  <c r="R19" i="2" s="1"/>
  <c r="P18" i="2"/>
  <c r="O18" i="2"/>
  <c r="N18" i="2"/>
  <c r="M18" i="2"/>
  <c r="L18" i="2"/>
  <c r="K18" i="2"/>
  <c r="P17" i="2"/>
  <c r="O17" i="2"/>
  <c r="N17" i="2"/>
  <c r="M17" i="2"/>
  <c r="L17" i="2"/>
  <c r="K17" i="2"/>
  <c r="Q17" i="2" s="1"/>
  <c r="P16" i="2"/>
  <c r="O16" i="2"/>
  <c r="N16" i="2"/>
  <c r="M16" i="2"/>
  <c r="L16" i="2"/>
  <c r="K16" i="2"/>
  <c r="P15" i="2"/>
  <c r="O15" i="2"/>
  <c r="N15" i="2"/>
  <c r="M15" i="2"/>
  <c r="L15" i="2"/>
  <c r="K15" i="2"/>
  <c r="R15" i="2" s="1"/>
  <c r="P14" i="2"/>
  <c r="O14" i="2"/>
  <c r="N14" i="2"/>
  <c r="M14" i="2"/>
  <c r="L14" i="2"/>
  <c r="K14" i="2"/>
  <c r="P13" i="2"/>
  <c r="O13" i="2"/>
  <c r="N13" i="2"/>
  <c r="M13" i="2"/>
  <c r="L13" i="2"/>
  <c r="K13" i="2"/>
  <c r="P12" i="2"/>
  <c r="O12" i="2"/>
  <c r="N12" i="2"/>
  <c r="M12" i="2"/>
  <c r="L12" i="2"/>
  <c r="K12" i="2"/>
  <c r="Q12" i="2" s="1"/>
  <c r="P11" i="2"/>
  <c r="O11" i="2"/>
  <c r="N11" i="2"/>
  <c r="M11" i="2"/>
  <c r="L11" i="2"/>
  <c r="K11" i="2"/>
  <c r="Q11" i="2" s="1"/>
  <c r="P10" i="2"/>
  <c r="O10" i="2"/>
  <c r="N10" i="2"/>
  <c r="M10" i="2"/>
  <c r="L10" i="2"/>
  <c r="K10" i="2"/>
  <c r="Q10" i="2" s="1"/>
  <c r="P9" i="2"/>
  <c r="O9" i="2"/>
  <c r="N9" i="2"/>
  <c r="M9" i="2"/>
  <c r="L9" i="2"/>
  <c r="K9" i="2"/>
  <c r="R9" i="2" s="1"/>
  <c r="P8" i="2"/>
  <c r="O8" i="2"/>
  <c r="N8" i="2"/>
  <c r="M8" i="2"/>
  <c r="L8" i="2"/>
  <c r="K8" i="2"/>
  <c r="Q8" i="2" s="1"/>
  <c r="P7" i="2"/>
  <c r="O7" i="2"/>
  <c r="N7" i="2"/>
  <c r="M7" i="2"/>
  <c r="L7" i="2"/>
  <c r="K7" i="2"/>
  <c r="P6" i="2"/>
  <c r="O6" i="2"/>
  <c r="N6" i="2"/>
  <c r="M6" i="2"/>
  <c r="L6" i="2"/>
  <c r="K6" i="2"/>
  <c r="Q6" i="2" s="1"/>
  <c r="P5" i="2"/>
  <c r="O5" i="2"/>
  <c r="N5" i="2"/>
  <c r="M5" i="2"/>
  <c r="L5" i="2"/>
  <c r="K5" i="2"/>
  <c r="P4" i="2"/>
  <c r="O4" i="2"/>
  <c r="N4" i="2"/>
  <c r="M4" i="2"/>
  <c r="L4" i="2"/>
  <c r="K4" i="2"/>
  <c r="P3" i="2"/>
  <c r="O3" i="2"/>
  <c r="N3" i="2"/>
  <c r="M3" i="2"/>
  <c r="L3" i="2"/>
  <c r="K3" i="2"/>
  <c r="BS8" i="3"/>
  <c r="BW7" i="3"/>
  <c r="BS7" i="3"/>
  <c r="BW6" i="3"/>
  <c r="BS6" i="3"/>
  <c r="BW5" i="3"/>
  <c r="BS5" i="3"/>
  <c r="BW4" i="3"/>
  <c r="BS4" i="3"/>
  <c r="BW3" i="3"/>
  <c r="BS3" i="3"/>
  <c r="R403" i="2" l="1"/>
  <c r="Q746" i="2"/>
  <c r="R704" i="2"/>
  <c r="R561" i="2"/>
  <c r="R662" i="2"/>
  <c r="R741" i="2"/>
  <c r="Q667" i="2"/>
  <c r="R527" i="2"/>
  <c r="Q522" i="2"/>
  <c r="Q45" i="2"/>
  <c r="R556" i="2"/>
  <c r="R657" i="2"/>
  <c r="R98" i="2"/>
  <c r="R119" i="2"/>
  <c r="Q387" i="2"/>
  <c r="Q385" i="2"/>
  <c r="Q652" i="2"/>
  <c r="R739" i="2"/>
  <c r="Q189" i="2"/>
  <c r="Q383" i="2"/>
  <c r="Q673" i="2"/>
  <c r="Q184" i="2"/>
  <c r="R457" i="2"/>
  <c r="Q381" i="2"/>
  <c r="Q539" i="2"/>
  <c r="R296" i="2"/>
  <c r="Q640" i="2"/>
  <c r="N793" i="2"/>
  <c r="Q492" i="2"/>
  <c r="R126" i="2"/>
  <c r="Q124" i="2"/>
  <c r="Q214" i="2"/>
  <c r="Q471" i="2"/>
  <c r="R543" i="2"/>
  <c r="R635" i="2"/>
  <c r="Q648" i="2"/>
  <c r="R592" i="2"/>
  <c r="Q355" i="2"/>
  <c r="Q507" i="2"/>
  <c r="Q512" i="2"/>
  <c r="Q750" i="2"/>
  <c r="Q196" i="2"/>
  <c r="Q379" i="2"/>
  <c r="R572" i="2"/>
  <c r="R301" i="2"/>
  <c r="R580" i="2"/>
  <c r="Q128" i="2"/>
  <c r="R439" i="2"/>
  <c r="Q706" i="2"/>
  <c r="Q157" i="2"/>
  <c r="Q738" i="2"/>
  <c r="Q748" i="2"/>
  <c r="R753" i="2"/>
  <c r="R650" i="2"/>
  <c r="R121" i="2"/>
  <c r="Q144" i="2"/>
  <c r="Q194" i="2"/>
  <c r="R463" i="2"/>
  <c r="R570" i="2"/>
  <c r="N787" i="2"/>
  <c r="N806" i="2"/>
  <c r="Q137" i="2"/>
  <c r="Q377" i="2"/>
  <c r="R401" i="2"/>
  <c r="R391" i="2"/>
  <c r="Q456" i="2"/>
  <c r="R633" i="2"/>
  <c r="R324" i="2"/>
  <c r="Q375" i="2"/>
  <c r="R396" i="2"/>
  <c r="R451" i="2"/>
  <c r="Q599" i="2"/>
  <c r="R30" i="2"/>
  <c r="Q638" i="2"/>
  <c r="N801" i="2"/>
  <c r="R332" i="2"/>
  <c r="R469" i="2"/>
  <c r="Q607" i="2"/>
  <c r="Q195" i="2"/>
  <c r="Q237" i="2"/>
  <c r="Q394" i="2"/>
  <c r="Q449" i="2"/>
  <c r="Q682" i="2"/>
  <c r="R742" i="2"/>
  <c r="Q747" i="2"/>
  <c r="R677" i="2"/>
  <c r="Q545" i="2"/>
  <c r="Q698" i="2"/>
  <c r="N807" i="2"/>
  <c r="K759" i="2"/>
  <c r="Q759" i="2" s="1"/>
  <c r="L759" i="2"/>
  <c r="N792" i="2"/>
  <c r="L780" i="2"/>
  <c r="Q15" i="2"/>
  <c r="R49" i="2"/>
  <c r="R460" i="2"/>
  <c r="Q460" i="2"/>
  <c r="Q541" i="2"/>
  <c r="Q437" i="2"/>
  <c r="R447" i="2"/>
  <c r="R631" i="2"/>
  <c r="L756" i="2"/>
  <c r="N780" i="2"/>
  <c r="Q433" i="2"/>
  <c r="R433" i="2"/>
  <c r="R524" i="2"/>
  <c r="Q524" i="2"/>
  <c r="R546" i="2"/>
  <c r="R632" i="2"/>
  <c r="Q632" i="2"/>
  <c r="R380" i="2"/>
  <c r="Q380" i="2"/>
  <c r="Q407" i="2"/>
  <c r="R407" i="2"/>
  <c r="R483" i="2"/>
  <c r="Q483" i="2"/>
  <c r="Q501" i="2"/>
  <c r="R501" i="2"/>
  <c r="R593" i="2"/>
  <c r="Q593" i="2"/>
  <c r="R754" i="2"/>
  <c r="Q754" i="2"/>
  <c r="R268" i="2"/>
  <c r="Q268" i="2"/>
  <c r="R435" i="2"/>
  <c r="Q445" i="2"/>
  <c r="Q490" i="2"/>
  <c r="R600" i="2"/>
  <c r="N781" i="2"/>
  <c r="L781" i="2"/>
  <c r="R200" i="2"/>
  <c r="Q200" i="2"/>
  <c r="Q212" i="2"/>
  <c r="R378" i="2"/>
  <c r="Q378" i="2"/>
  <c r="R485" i="2"/>
  <c r="Q503" i="2"/>
  <c r="Q596" i="2"/>
  <c r="R596" i="2"/>
  <c r="R644" i="2"/>
  <c r="Q745" i="2"/>
  <c r="R745" i="2"/>
  <c r="Q751" i="2"/>
  <c r="R470" i="2"/>
  <c r="Q470" i="2"/>
  <c r="R634" i="2"/>
  <c r="Q634" i="2"/>
  <c r="Q453" i="2"/>
  <c r="R453" i="2"/>
  <c r="Q84" i="2"/>
  <c r="Q182" i="2"/>
  <c r="R270" i="2"/>
  <c r="R417" i="2"/>
  <c r="R431" i="2"/>
  <c r="Q431" i="2"/>
  <c r="Q567" i="2"/>
  <c r="R591" i="2"/>
  <c r="Q591" i="2"/>
  <c r="Q749" i="2"/>
  <c r="R193" i="2"/>
  <c r="Q193" i="2"/>
  <c r="R376" i="2"/>
  <c r="Q376" i="2"/>
  <c r="Q475" i="2"/>
  <c r="R481" i="2"/>
  <c r="Q481" i="2"/>
  <c r="Q585" i="2"/>
  <c r="Q102" i="2"/>
  <c r="R102" i="2"/>
  <c r="R611" i="2"/>
  <c r="Q611" i="2"/>
  <c r="Q263" i="2"/>
  <c r="R263" i="2"/>
  <c r="R177" i="2"/>
  <c r="Q210" i="2"/>
  <c r="Q400" i="2"/>
  <c r="R400" i="2"/>
  <c r="Q405" i="2"/>
  <c r="R405" i="2"/>
  <c r="R412" i="2"/>
  <c r="R425" i="2"/>
  <c r="R146" i="2"/>
  <c r="Q395" i="2"/>
  <c r="R395" i="2"/>
  <c r="Q586" i="2"/>
  <c r="R586" i="2"/>
  <c r="Q175" i="2"/>
  <c r="Q374" i="2"/>
  <c r="R374" i="2"/>
  <c r="Q473" i="2"/>
  <c r="R476" i="2"/>
  <c r="Q476" i="2"/>
  <c r="Q581" i="2"/>
  <c r="R581" i="2"/>
  <c r="Q714" i="2"/>
  <c r="R736" i="2"/>
  <c r="Q736" i="2"/>
  <c r="Q740" i="2"/>
  <c r="Q743" i="2"/>
  <c r="R743" i="2"/>
  <c r="Q574" i="2"/>
  <c r="R574" i="2"/>
  <c r="R320" i="2"/>
  <c r="Q320" i="2"/>
  <c r="R384" i="2"/>
  <c r="Q384" i="2"/>
  <c r="R474" i="2"/>
  <c r="Q474" i="2"/>
  <c r="Q571" i="2"/>
  <c r="R571" i="2"/>
  <c r="Q656" i="2"/>
  <c r="R656" i="2"/>
  <c r="R715" i="2"/>
  <c r="Q715" i="2"/>
  <c r="Q393" i="2"/>
  <c r="R393" i="2"/>
  <c r="R140" i="2"/>
  <c r="Q140" i="2"/>
  <c r="Q388" i="2"/>
  <c r="R388" i="2"/>
  <c r="Q72" i="2"/>
  <c r="Q173" i="2"/>
  <c r="Q372" i="2"/>
  <c r="R372" i="2"/>
  <c r="Q499" i="2"/>
  <c r="R559" i="2"/>
  <c r="Q559" i="2"/>
  <c r="Q563" i="2"/>
  <c r="R579" i="2"/>
  <c r="Q579" i="2"/>
  <c r="Q636" i="2"/>
  <c r="R636" i="2"/>
  <c r="Q646" i="2"/>
  <c r="R646" i="2"/>
  <c r="L758" i="2"/>
  <c r="K806" i="2"/>
  <c r="R806" i="2" s="1"/>
  <c r="R17" i="2"/>
  <c r="R39" i="2"/>
  <c r="Q39" i="2"/>
  <c r="R67" i="2"/>
  <c r="Q142" i="2"/>
  <c r="R386" i="2"/>
  <c r="Q386" i="2"/>
  <c r="R472" i="2"/>
  <c r="Q472" i="2"/>
  <c r="Q554" i="2"/>
  <c r="R554" i="2"/>
  <c r="R694" i="2"/>
  <c r="Q340" i="2"/>
  <c r="Q286" i="2"/>
  <c r="R286" i="2"/>
  <c r="Q294" i="2"/>
  <c r="R294" i="2"/>
  <c r="Q382" i="2"/>
  <c r="R382" i="2"/>
  <c r="L792" i="2"/>
  <c r="L784" i="2"/>
  <c r="K805" i="2"/>
  <c r="L755" i="2"/>
  <c r="L807" i="2"/>
  <c r="Q13" i="2"/>
  <c r="R13" i="2"/>
  <c r="Q23" i="2"/>
  <c r="R23" i="2"/>
  <c r="Q287" i="2"/>
  <c r="R287" i="2"/>
  <c r="R143" i="2"/>
  <c r="Q143" i="2"/>
  <c r="R138" i="2"/>
  <c r="R141" i="2"/>
  <c r="Q141" i="2"/>
  <c r="Q59" i="2"/>
  <c r="Q136" i="2"/>
  <c r="R318" i="2"/>
  <c r="Q318" i="2"/>
  <c r="R112" i="2"/>
  <c r="Q117" i="2"/>
  <c r="R139" i="2"/>
  <c r="Q139" i="2"/>
  <c r="R343" i="2"/>
  <c r="R190" i="2"/>
  <c r="Q190" i="2"/>
  <c r="R328" i="2"/>
  <c r="Q92" i="2"/>
  <c r="R134" i="2"/>
  <c r="R216" i="2"/>
  <c r="Q216" i="2"/>
  <c r="R233" i="2"/>
  <c r="R336" i="2"/>
  <c r="R11" i="2"/>
  <c r="Q47" i="2"/>
  <c r="R90" i="2"/>
  <c r="Q132" i="2"/>
  <c r="R186" i="2"/>
  <c r="R204" i="2"/>
  <c r="Q204" i="2"/>
  <c r="R367" i="2"/>
  <c r="R65" i="2"/>
  <c r="Q70" i="2"/>
  <c r="Q88" i="2"/>
  <c r="Q108" i="2"/>
  <c r="Q191" i="2"/>
  <c r="Q213" i="2"/>
  <c r="Q218" i="2"/>
  <c r="R272" i="2"/>
  <c r="R303" i="2"/>
  <c r="Q349" i="2"/>
  <c r="R362" i="2"/>
  <c r="R155" i="2"/>
  <c r="Q254" i="2"/>
  <c r="R254" i="2"/>
  <c r="R262" i="2"/>
  <c r="Q262" i="2"/>
  <c r="R188" i="2"/>
  <c r="Q110" i="2"/>
  <c r="R130" i="2"/>
  <c r="Q130" i="2"/>
  <c r="R220" i="2"/>
  <c r="Q86" i="2"/>
  <c r="R86" i="2"/>
  <c r="Q106" i="2"/>
  <c r="R106" i="2"/>
  <c r="Q115" i="2"/>
  <c r="R228" i="2"/>
  <c r="R32" i="2"/>
  <c r="R76" i="2"/>
  <c r="Q76" i="2"/>
  <c r="R192" i="2"/>
  <c r="Q192" i="2"/>
  <c r="Q211" i="2"/>
  <c r="R153" i="2"/>
  <c r="Q153" i="2"/>
  <c r="R245" i="2"/>
  <c r="Q285" i="2"/>
  <c r="R285" i="2"/>
  <c r="Q28" i="2"/>
  <c r="R28" i="2"/>
  <c r="Q729" i="2"/>
  <c r="R729" i="2"/>
  <c r="R597" i="2"/>
  <c r="Q597" i="2"/>
  <c r="Q619" i="2"/>
  <c r="R619" i="2"/>
  <c r="Q658" i="2"/>
  <c r="R658" i="2"/>
  <c r="Q724" i="2"/>
  <c r="R724" i="2"/>
  <c r="N757" i="2"/>
  <c r="L757" i="2"/>
  <c r="K757" i="2"/>
  <c r="R757" i="2" s="1"/>
  <c r="L805" i="2"/>
  <c r="R207" i="2"/>
  <c r="Q207" i="2"/>
  <c r="R314" i="2"/>
  <c r="Q314" i="2"/>
  <c r="R37" i="2"/>
  <c r="Q316" i="2"/>
  <c r="R326" i="2"/>
  <c r="Q326" i="2"/>
  <c r="R461" i="2"/>
  <c r="Q484" i="2"/>
  <c r="R531" i="2"/>
  <c r="R594" i="2"/>
  <c r="Q601" i="2"/>
  <c r="Q609" i="2"/>
  <c r="R609" i="2"/>
  <c r="R718" i="2"/>
  <c r="N774" i="2"/>
  <c r="L774" i="2"/>
  <c r="N803" i="2"/>
  <c r="L803" i="2"/>
  <c r="Q274" i="2"/>
  <c r="R274" i="2"/>
  <c r="R255" i="2"/>
  <c r="Q255" i="2"/>
  <c r="Q74" i="2"/>
  <c r="Q235" i="2"/>
  <c r="R247" i="2"/>
  <c r="Q145" i="2"/>
  <c r="Q197" i="2"/>
  <c r="R202" i="2"/>
  <c r="R279" i="2"/>
  <c r="Q455" i="2"/>
  <c r="R455" i="2"/>
  <c r="R621" i="2"/>
  <c r="Q639" i="2"/>
  <c r="R639" i="2"/>
  <c r="R719" i="2"/>
  <c r="Q719" i="2"/>
  <c r="R744" i="2"/>
  <c r="Q744" i="2"/>
  <c r="Q752" i="2"/>
  <c r="K774" i="2"/>
  <c r="R774" i="2" s="1"/>
  <c r="K803" i="2"/>
  <c r="R803" i="2" s="1"/>
  <c r="Q735" i="2"/>
  <c r="R735" i="2"/>
  <c r="R111" i="2"/>
  <c r="Q111" i="2"/>
  <c r="K765" i="2"/>
  <c r="Q765" i="2" s="1"/>
  <c r="Q135" i="2"/>
  <c r="Q159" i="2"/>
  <c r="R159" i="2"/>
  <c r="Q171" i="2"/>
  <c r="Q187" i="2"/>
  <c r="Q226" i="2"/>
  <c r="Q292" i="2"/>
  <c r="Q305" i="2"/>
  <c r="R305" i="2"/>
  <c r="Q356" i="2"/>
  <c r="R356" i="2"/>
  <c r="Q416" i="2"/>
  <c r="L763" i="2"/>
  <c r="L765" i="2"/>
  <c r="K789" i="2"/>
  <c r="R302" i="2"/>
  <c r="Q302" i="2"/>
  <c r="R712" i="2"/>
  <c r="Q712" i="2"/>
  <c r="R310" i="2"/>
  <c r="Q310" i="2"/>
  <c r="R642" i="2"/>
  <c r="Q642" i="2"/>
  <c r="Q96" i="2"/>
  <c r="R243" i="2"/>
  <c r="R288" i="2"/>
  <c r="Q288" i="2"/>
  <c r="Q312" i="2"/>
  <c r="Q338" i="2"/>
  <c r="R411" i="2"/>
  <c r="R421" i="2"/>
  <c r="Q537" i="2"/>
  <c r="Q686" i="2"/>
  <c r="R6" i="2"/>
  <c r="R82" i="2"/>
  <c r="R109" i="2"/>
  <c r="Q109" i="2"/>
  <c r="Q133" i="2"/>
  <c r="Q185" i="2"/>
  <c r="R215" i="2"/>
  <c r="Q215" i="2"/>
  <c r="R248" i="2"/>
  <c r="R369" i="2"/>
  <c r="Q369" i="2"/>
  <c r="R443" i="2"/>
  <c r="R462" i="2"/>
  <c r="Q532" i="2"/>
  <c r="R589" i="2"/>
  <c r="Q589" i="2"/>
  <c r="R595" i="2"/>
  <c r="Q661" i="2"/>
  <c r="K787" i="2"/>
  <c r="L789" i="2"/>
  <c r="Q43" i="2"/>
  <c r="Q131" i="2"/>
  <c r="Q169" i="2"/>
  <c r="Q183" i="2"/>
  <c r="Q258" i="2"/>
  <c r="Q281" i="2"/>
  <c r="R281" i="2"/>
  <c r="Q290" i="2"/>
  <c r="R358" i="2"/>
  <c r="Q364" i="2"/>
  <c r="R364" i="2"/>
  <c r="Q429" i="2"/>
  <c r="Q505" i="2"/>
  <c r="R516" i="2"/>
  <c r="Q516" i="2"/>
  <c r="Q525" i="2"/>
  <c r="Q550" i="2"/>
  <c r="R550" i="2"/>
  <c r="R617" i="2"/>
  <c r="L767" i="2"/>
  <c r="Q208" i="2"/>
  <c r="R224" i="2"/>
  <c r="Q241" i="2"/>
  <c r="Q523" i="2"/>
  <c r="Q530" i="2"/>
  <c r="Q654" i="2"/>
  <c r="L811" i="2"/>
  <c r="K811" i="2"/>
  <c r="K772" i="2"/>
  <c r="N772" i="2"/>
  <c r="R26" i="2"/>
  <c r="Q256" i="2"/>
  <c r="R283" i="2"/>
  <c r="Q322" i="2"/>
  <c r="R330" i="2"/>
  <c r="Q330" i="2"/>
  <c r="Q334" i="2"/>
  <c r="Q441" i="2"/>
  <c r="Q488" i="2"/>
  <c r="R552" i="2"/>
  <c r="R565" i="2"/>
  <c r="Q565" i="2"/>
  <c r="Q605" i="2"/>
  <c r="R669" i="2"/>
  <c r="Q21" i="2"/>
  <c r="Q80" i="2"/>
  <c r="R94" i="2"/>
  <c r="Q104" i="2"/>
  <c r="R107" i="2"/>
  <c r="Q107" i="2"/>
  <c r="Q129" i="2"/>
  <c r="Q181" i="2"/>
  <c r="N811" i="2"/>
  <c r="R371" i="2"/>
  <c r="Q371" i="2"/>
  <c r="L772" i="2"/>
  <c r="K810" i="2"/>
  <c r="Q810" i="2" s="1"/>
  <c r="N810" i="2"/>
  <c r="L810" i="2"/>
  <c r="Q419" i="2"/>
  <c r="R419" i="2"/>
  <c r="R684" i="2"/>
  <c r="Q684" i="2"/>
  <c r="R217" i="2"/>
  <c r="Q217" i="2"/>
  <c r="K763" i="2"/>
  <c r="Q127" i="2"/>
  <c r="R41" i="2"/>
  <c r="R105" i="2"/>
  <c r="Q105" i="2"/>
  <c r="Q125" i="2"/>
  <c r="Q206" i="2"/>
  <c r="R209" i="2"/>
  <c r="Q209" i="2"/>
  <c r="R300" i="2"/>
  <c r="Q351" i="2"/>
  <c r="R547" i="2"/>
  <c r="R598" i="2"/>
  <c r="R675" i="2"/>
  <c r="Q675" i="2"/>
  <c r="R733" i="2"/>
  <c r="K783" i="2"/>
  <c r="Q783" i="2" s="1"/>
  <c r="Q19" i="2"/>
  <c r="Q61" i="2"/>
  <c r="R78" i="2"/>
  <c r="Q123" i="2"/>
  <c r="Q222" i="2"/>
  <c r="R239" i="2"/>
  <c r="R257" i="2"/>
  <c r="Q257" i="2"/>
  <c r="R261" i="2"/>
  <c r="R347" i="2"/>
  <c r="Q347" i="2"/>
  <c r="R402" i="2"/>
  <c r="R514" i="2"/>
  <c r="Q514" i="2"/>
  <c r="Q629" i="2"/>
  <c r="R629" i="2"/>
  <c r="R710" i="2"/>
  <c r="R734" i="2"/>
  <c r="Q734" i="2"/>
  <c r="K781" i="2"/>
  <c r="L783" i="2"/>
  <c r="L800" i="2"/>
  <c r="K800" i="2"/>
  <c r="R602" i="2"/>
  <c r="K758" i="2"/>
  <c r="R758" i="2" s="1"/>
  <c r="L793" i="2"/>
  <c r="L808" i="2"/>
  <c r="Q452" i="2"/>
  <c r="Q494" i="2"/>
  <c r="Q521" i="2"/>
  <c r="R578" i="2"/>
  <c r="Q630" i="2"/>
  <c r="R664" i="2"/>
  <c r="R688" i="2"/>
  <c r="R720" i="2"/>
  <c r="R725" i="2"/>
  <c r="R737" i="2"/>
  <c r="K770" i="2"/>
  <c r="Q620" i="2"/>
  <c r="L799" i="2"/>
  <c r="K801" i="2"/>
  <c r="R637" i="2"/>
  <c r="K755" i="2"/>
  <c r="K784" i="2"/>
  <c r="L786" i="2"/>
  <c r="BW8" i="3"/>
  <c r="Q708" i="2"/>
  <c r="Q726" i="2"/>
  <c r="Q697" i="2"/>
  <c r="Q717" i="2"/>
  <c r="Q695" i="2"/>
  <c r="Q693" i="2"/>
  <c r="Q713" i="2"/>
  <c r="Q702" i="2"/>
  <c r="Q711" i="2"/>
  <c r="R691" i="2"/>
  <c r="Q700" i="2"/>
  <c r="Q696" i="2"/>
  <c r="Q716" i="2"/>
  <c r="R730" i="2"/>
  <c r="Q788" i="2"/>
  <c r="R788" i="2"/>
  <c r="R29" i="2"/>
  <c r="Q29" i="2"/>
  <c r="R75" i="2"/>
  <c r="Q75" i="2"/>
  <c r="Q271" i="2"/>
  <c r="R271" i="2"/>
  <c r="R587" i="2"/>
  <c r="Q587" i="2"/>
  <c r="R606" i="2"/>
  <c r="Q606" i="2"/>
  <c r="R707" i="2"/>
  <c r="Q707" i="2"/>
  <c r="R91" i="2"/>
  <c r="Q91" i="2"/>
  <c r="R339" i="2"/>
  <c r="Q339" i="2"/>
  <c r="Q397" i="2"/>
  <c r="R397" i="2"/>
  <c r="R404" i="2"/>
  <c r="Q404" i="2"/>
  <c r="R53" i="2"/>
  <c r="Q53" i="2"/>
  <c r="Q68" i="2"/>
  <c r="R68" i="2"/>
  <c r="Q118" i="2"/>
  <c r="R118" i="2"/>
  <c r="R361" i="2"/>
  <c r="Q361" i="2"/>
  <c r="Q582" i="2"/>
  <c r="R582" i="2"/>
  <c r="R264" i="2"/>
  <c r="Q264" i="2"/>
  <c r="R321" i="2"/>
  <c r="Q321" i="2"/>
  <c r="N762" i="2"/>
  <c r="L762" i="2"/>
  <c r="Q354" i="2"/>
  <c r="R354" i="2"/>
  <c r="R508" i="2"/>
  <c r="Q508" i="2"/>
  <c r="R622" i="2"/>
  <c r="Q622" i="2"/>
  <c r="K762" i="2"/>
  <c r="R284" i="2"/>
  <c r="Q284" i="2"/>
  <c r="R335" i="2"/>
  <c r="Q335" i="2"/>
  <c r="R466" i="2"/>
  <c r="Q466" i="2"/>
  <c r="R610" i="2"/>
  <c r="Q610" i="2"/>
  <c r="Q20" i="2"/>
  <c r="R20" i="2"/>
  <c r="Q114" i="2"/>
  <c r="R114" i="2"/>
  <c r="R165" i="2"/>
  <c r="Q165" i="2"/>
  <c r="R85" i="2"/>
  <c r="Q85" i="2"/>
  <c r="Q251" i="2"/>
  <c r="R251" i="2"/>
  <c r="Q410" i="2"/>
  <c r="R410" i="2"/>
  <c r="R528" i="2"/>
  <c r="Q528" i="2"/>
  <c r="Q18" i="2"/>
  <c r="R18" i="2"/>
  <c r="R64" i="2"/>
  <c r="Q64" i="2"/>
  <c r="Q727" i="2"/>
  <c r="R727" i="2"/>
  <c r="N804" i="2"/>
  <c r="R42" i="2"/>
  <c r="Q42" i="2"/>
  <c r="R83" i="2"/>
  <c r="Q83" i="2"/>
  <c r="R99" i="2"/>
  <c r="Q99" i="2"/>
  <c r="R203" i="2"/>
  <c r="Q203" i="2"/>
  <c r="R308" i="2"/>
  <c r="Q308" i="2"/>
  <c r="R315" i="2"/>
  <c r="Q315" i="2"/>
  <c r="R331" i="2"/>
  <c r="Q331" i="2"/>
  <c r="Q345" i="2"/>
  <c r="R345" i="2"/>
  <c r="R464" i="2"/>
  <c r="Q464" i="2"/>
  <c r="R519" i="2"/>
  <c r="Q519" i="2"/>
  <c r="R533" i="2"/>
  <c r="Q533" i="2"/>
  <c r="R613" i="2"/>
  <c r="Q613" i="2"/>
  <c r="N769" i="2"/>
  <c r="K769" i="2"/>
  <c r="L788" i="2"/>
  <c r="N788" i="2"/>
  <c r="N802" i="2"/>
  <c r="Q16" i="2"/>
  <c r="R16" i="2"/>
  <c r="R57" i="2"/>
  <c r="Q57" i="2"/>
  <c r="R163" i="2"/>
  <c r="Q163" i="2"/>
  <c r="Q244" i="2"/>
  <c r="R244" i="2"/>
  <c r="R526" i="2"/>
  <c r="Q526" i="2"/>
  <c r="R40" i="2"/>
  <c r="Q40" i="2"/>
  <c r="R81" i="2"/>
  <c r="Q81" i="2"/>
  <c r="R97" i="2"/>
  <c r="Q97" i="2"/>
  <c r="R151" i="2"/>
  <c r="Q151" i="2"/>
  <c r="R158" i="2"/>
  <c r="Q158" i="2"/>
  <c r="R201" i="2"/>
  <c r="Q201" i="2"/>
  <c r="Q249" i="2"/>
  <c r="R249" i="2"/>
  <c r="R313" i="2"/>
  <c r="Q313" i="2"/>
  <c r="R329" i="2"/>
  <c r="Q329" i="2"/>
  <c r="R408" i="2"/>
  <c r="Q408" i="2"/>
  <c r="R555" i="2"/>
  <c r="Q555" i="2"/>
  <c r="Q660" i="2"/>
  <c r="R660" i="2"/>
  <c r="K767" i="2"/>
  <c r="K799" i="2"/>
  <c r="Q242" i="2"/>
  <c r="R242" i="2"/>
  <c r="Q275" i="2"/>
  <c r="R275" i="2"/>
  <c r="Q365" i="2"/>
  <c r="R365" i="2"/>
  <c r="Q370" i="2"/>
  <c r="R370" i="2"/>
  <c r="R430" i="2"/>
  <c r="Q430" i="2"/>
  <c r="R446" i="2"/>
  <c r="Q446" i="2"/>
  <c r="R495" i="2"/>
  <c r="Q495" i="2"/>
  <c r="Q653" i="2"/>
  <c r="R653" i="2"/>
  <c r="Q689" i="2"/>
  <c r="R689" i="2"/>
  <c r="R705" i="2"/>
  <c r="Q705" i="2"/>
  <c r="L778" i="2"/>
  <c r="K778" i="2"/>
  <c r="N778" i="2"/>
  <c r="Q517" i="2"/>
  <c r="R517" i="2"/>
  <c r="N776" i="2"/>
  <c r="L776" i="2"/>
  <c r="K797" i="2"/>
  <c r="R260" i="2"/>
  <c r="Q260" i="2"/>
  <c r="Q291" i="2"/>
  <c r="R291" i="2"/>
  <c r="R333" i="2"/>
  <c r="Q333" i="2"/>
  <c r="R156" i="2"/>
  <c r="Q156" i="2"/>
  <c r="Q306" i="2"/>
  <c r="R306" i="2"/>
  <c r="R311" i="2"/>
  <c r="Q311" i="2"/>
  <c r="Q35" i="2"/>
  <c r="Q55" i="2"/>
  <c r="R55" i="2"/>
  <c r="Q240" i="2"/>
  <c r="R240" i="2"/>
  <c r="R392" i="2"/>
  <c r="Q392" i="2"/>
  <c r="Q406" i="2"/>
  <c r="R406" i="2"/>
  <c r="R428" i="2"/>
  <c r="Q428" i="2"/>
  <c r="R444" i="2"/>
  <c r="Q444" i="2"/>
  <c r="Q548" i="2"/>
  <c r="R548" i="2"/>
  <c r="R553" i="2"/>
  <c r="Q553" i="2"/>
  <c r="Q584" i="2"/>
  <c r="R584" i="2"/>
  <c r="Q651" i="2"/>
  <c r="R651" i="2"/>
  <c r="K776" i="2"/>
  <c r="L795" i="2"/>
  <c r="N795" i="2"/>
  <c r="Q24" i="2"/>
  <c r="R24" i="2"/>
  <c r="R323" i="2"/>
  <c r="Q323" i="2"/>
  <c r="R424" i="2"/>
  <c r="Q424" i="2"/>
  <c r="R551" i="2"/>
  <c r="Q551" i="2"/>
  <c r="Q685" i="2"/>
  <c r="R685" i="2"/>
  <c r="Q167" i="2"/>
  <c r="R167" i="2"/>
  <c r="Q174" i="2"/>
  <c r="R174" i="2"/>
  <c r="R486" i="2"/>
  <c r="Q486" i="2"/>
  <c r="R627" i="2"/>
  <c r="Q627" i="2"/>
  <c r="Q295" i="2"/>
  <c r="R295" i="2"/>
  <c r="R337" i="2"/>
  <c r="Q337" i="2"/>
  <c r="R513" i="2"/>
  <c r="Q513" i="2"/>
  <c r="Q575" i="2"/>
  <c r="R575" i="2"/>
  <c r="Q116" i="2"/>
  <c r="R116" i="2"/>
  <c r="Q172" i="2"/>
  <c r="R172" i="2"/>
  <c r="Q229" i="2"/>
  <c r="R229" i="2"/>
  <c r="Q568" i="2"/>
  <c r="R568" i="2"/>
  <c r="R46" i="2"/>
  <c r="Q46" i="2"/>
  <c r="Q293" i="2"/>
  <c r="R293" i="2"/>
  <c r="R319" i="2"/>
  <c r="Q319" i="2"/>
  <c r="R535" i="2"/>
  <c r="Q535" i="2"/>
  <c r="R615" i="2"/>
  <c r="Q615" i="2"/>
  <c r="L760" i="2"/>
  <c r="N760" i="2"/>
  <c r="R804" i="2"/>
  <c r="Q804" i="2"/>
  <c r="R482" i="2"/>
  <c r="Q482" i="2"/>
  <c r="K760" i="2"/>
  <c r="K802" i="2"/>
  <c r="R317" i="2"/>
  <c r="Q317" i="2"/>
  <c r="R722" i="2"/>
  <c r="Q722" i="2"/>
  <c r="Q277" i="2"/>
  <c r="R277" i="2"/>
  <c r="R497" i="2"/>
  <c r="Q497" i="2"/>
  <c r="R504" i="2"/>
  <c r="Q504" i="2"/>
  <c r="Q557" i="2"/>
  <c r="R557" i="2"/>
  <c r="Q564" i="2"/>
  <c r="R564" i="2"/>
  <c r="R709" i="2"/>
  <c r="Q709" i="2"/>
  <c r="R79" i="2"/>
  <c r="Q79" i="2"/>
  <c r="Q9" i="2"/>
  <c r="R77" i="2"/>
  <c r="Q77" i="2"/>
  <c r="R93" i="2"/>
  <c r="Q93" i="2"/>
  <c r="Q149" i="2"/>
  <c r="R149" i="2"/>
  <c r="R266" i="2"/>
  <c r="Q266" i="2"/>
  <c r="Q273" i="2"/>
  <c r="R273" i="2"/>
  <c r="R325" i="2"/>
  <c r="Q325" i="2"/>
  <c r="R341" i="2"/>
  <c r="Q341" i="2"/>
  <c r="Q363" i="2"/>
  <c r="R363" i="2"/>
  <c r="Q368" i="2"/>
  <c r="R368" i="2"/>
  <c r="R493" i="2"/>
  <c r="Q493" i="2"/>
  <c r="R577" i="2"/>
  <c r="Q577" i="2"/>
  <c r="Q680" i="2"/>
  <c r="R680" i="2"/>
  <c r="Q687" i="2"/>
  <c r="R687" i="2"/>
  <c r="K795" i="2"/>
  <c r="N797" i="2"/>
  <c r="Q390" i="2"/>
  <c r="R390" i="2"/>
  <c r="R491" i="2"/>
  <c r="Q491" i="2"/>
  <c r="L809" i="2"/>
  <c r="K809" i="2"/>
  <c r="N809" i="2"/>
  <c r="R48" i="2"/>
  <c r="Q48" i="2"/>
  <c r="R89" i="2"/>
  <c r="Q89" i="2"/>
  <c r="Q479" i="2"/>
  <c r="R479" i="2"/>
  <c r="R3" i="2"/>
  <c r="Q3" i="2"/>
  <c r="Q22" i="2"/>
  <c r="R22" i="2"/>
  <c r="Q671" i="2"/>
  <c r="R671" i="2"/>
  <c r="R66" i="2"/>
  <c r="Q66" i="2"/>
  <c r="R87" i="2"/>
  <c r="Q87" i="2"/>
  <c r="R101" i="2"/>
  <c r="Q101" i="2"/>
  <c r="R506" i="2"/>
  <c r="Q506" i="2"/>
  <c r="Q566" i="2"/>
  <c r="R566" i="2"/>
  <c r="R573" i="2"/>
  <c r="Q573" i="2"/>
  <c r="L804" i="2"/>
  <c r="R44" i="2"/>
  <c r="Q44" i="2"/>
  <c r="Q415" i="2"/>
  <c r="R415" i="2"/>
  <c r="R160" i="2"/>
  <c r="Q160" i="2"/>
  <c r="R282" i="2"/>
  <c r="Q282" i="2"/>
  <c r="R608" i="2"/>
  <c r="Q608" i="2"/>
  <c r="L771" i="2"/>
  <c r="K771" i="2"/>
  <c r="N771" i="2"/>
  <c r="Q14" i="2"/>
  <c r="R14" i="2"/>
  <c r="R62" i="2"/>
  <c r="Q62" i="2"/>
  <c r="Q7" i="2"/>
  <c r="R7" i="2"/>
  <c r="R95" i="2"/>
  <c r="Q95" i="2"/>
  <c r="Q178" i="2"/>
  <c r="R178" i="2"/>
  <c r="R199" i="2"/>
  <c r="Q199" i="2"/>
  <c r="Q205" i="2"/>
  <c r="R327" i="2"/>
  <c r="Q327" i="2"/>
  <c r="Q5" i="2"/>
  <c r="R5" i="2"/>
  <c r="R50" i="2"/>
  <c r="Q50" i="2"/>
  <c r="Q120" i="2"/>
  <c r="R120" i="2"/>
  <c r="Q176" i="2"/>
  <c r="R176" i="2"/>
  <c r="R231" i="2"/>
  <c r="Q231" i="2"/>
  <c r="Q238" i="2"/>
  <c r="R238" i="2"/>
  <c r="Q297" i="2"/>
  <c r="R297" i="2"/>
  <c r="R304" i="2"/>
  <c r="Q304" i="2"/>
  <c r="R442" i="2"/>
  <c r="Q442" i="2"/>
  <c r="R510" i="2"/>
  <c r="Q510" i="2"/>
  <c r="R515" i="2"/>
  <c r="Q515" i="2"/>
  <c r="R624" i="2"/>
  <c r="Q624" i="2"/>
  <c r="Q649" i="2"/>
  <c r="R649" i="2"/>
  <c r="R440" i="2"/>
  <c r="Q440" i="2"/>
  <c r="Q467" i="2"/>
  <c r="R467" i="2"/>
  <c r="Q366" i="2"/>
  <c r="R366" i="2"/>
  <c r="R549" i="2"/>
  <c r="Q549" i="2"/>
  <c r="Q681" i="2"/>
  <c r="R681" i="2"/>
  <c r="R701" i="2"/>
  <c r="Q701" i="2"/>
  <c r="K764" i="2"/>
  <c r="L773" i="2"/>
  <c r="K773" i="2"/>
  <c r="L790" i="2"/>
  <c r="L794" i="2"/>
  <c r="K785" i="2"/>
  <c r="R152" i="2"/>
  <c r="Q152" i="2"/>
  <c r="R438" i="2"/>
  <c r="Q438" i="2"/>
  <c r="R616" i="2"/>
  <c r="Q616" i="2"/>
  <c r="Q672" i="2"/>
  <c r="R672" i="2"/>
  <c r="R690" i="2"/>
  <c r="Q690" i="2"/>
  <c r="N775" i="2"/>
  <c r="L775" i="2"/>
  <c r="K796" i="2"/>
  <c r="Q265" i="2"/>
  <c r="R265" i="2"/>
  <c r="Q465" i="2"/>
  <c r="R465" i="2"/>
  <c r="R496" i="2"/>
  <c r="Q496" i="2"/>
  <c r="Q623" i="2"/>
  <c r="R623" i="2"/>
  <c r="L766" i="2"/>
  <c r="K766" i="2"/>
  <c r="N773" i="2"/>
  <c r="K775" i="2"/>
  <c r="K777" i="2"/>
  <c r="L782" i="2"/>
  <c r="N794" i="2"/>
  <c r="R502" i="2"/>
  <c r="Q502" i="2"/>
  <c r="R154" i="2"/>
  <c r="Q154" i="2"/>
  <c r="Q267" i="2"/>
  <c r="R267" i="2"/>
  <c r="R58" i="2"/>
  <c r="Q58" i="2"/>
  <c r="R168" i="2"/>
  <c r="Q168" i="2"/>
  <c r="R427" i="2"/>
  <c r="Q427" i="2"/>
  <c r="R487" i="2"/>
  <c r="Q487" i="2"/>
  <c r="Q558" i="2"/>
  <c r="R558" i="2"/>
  <c r="L764" i="2"/>
  <c r="K782" i="2"/>
  <c r="L785" i="2"/>
  <c r="R56" i="2"/>
  <c r="Q56" i="2"/>
  <c r="R150" i="2"/>
  <c r="Q150" i="2"/>
  <c r="R166" i="2"/>
  <c r="Q166" i="2"/>
  <c r="Q344" i="2"/>
  <c r="R344" i="2"/>
  <c r="R353" i="2"/>
  <c r="Q353" i="2"/>
  <c r="R436" i="2"/>
  <c r="Q436" i="2"/>
  <c r="R536" i="2"/>
  <c r="Q536" i="2"/>
  <c r="Q670" i="2"/>
  <c r="R670" i="2"/>
  <c r="L777" i="2"/>
  <c r="N796" i="2"/>
  <c r="K798" i="2"/>
  <c r="N798" i="2"/>
  <c r="L798" i="2"/>
  <c r="K808" i="2"/>
  <c r="R810" i="2"/>
  <c r="R625" i="2"/>
  <c r="R647" i="2"/>
  <c r="R676" i="2"/>
  <c r="R683" i="2"/>
  <c r="R723" i="2"/>
  <c r="L768" i="2"/>
  <c r="K768" i="2"/>
  <c r="Q780" i="2"/>
  <c r="Q360" i="2"/>
  <c r="R360" i="2"/>
  <c r="R534" i="2"/>
  <c r="Q534" i="2"/>
  <c r="Q542" i="2"/>
  <c r="Q668" i="2"/>
  <c r="R668" i="2"/>
  <c r="R674" i="2"/>
  <c r="Q794" i="2"/>
  <c r="R10" i="2"/>
  <c r="Q25" i="2"/>
  <c r="R27" i="2"/>
  <c r="Q36" i="2"/>
  <c r="R51" i="2"/>
  <c r="R71" i="2"/>
  <c r="R161" i="2"/>
  <c r="Q179" i="2"/>
  <c r="Q221" i="2"/>
  <c r="R232" i="2"/>
  <c r="R278" i="2"/>
  <c r="R298" i="2"/>
  <c r="R348" i="2"/>
  <c r="R357" i="2"/>
  <c r="Q373" i="2"/>
  <c r="Q418" i="2"/>
  <c r="R420" i="2"/>
  <c r="Q423" i="2"/>
  <c r="R423" i="2"/>
  <c r="Q454" i="2"/>
  <c r="Q459" i="2"/>
  <c r="R459" i="2"/>
  <c r="Q498" i="2"/>
  <c r="Q509" i="2"/>
  <c r="R529" i="2"/>
  <c r="Q540" i="2"/>
  <c r="R643" i="2"/>
  <c r="Q663" i="2"/>
  <c r="R665" i="2"/>
  <c r="Q728" i="2"/>
  <c r="Q731" i="2"/>
  <c r="R731" i="2"/>
  <c r="N768" i="2"/>
  <c r="L770" i="2"/>
  <c r="K779" i="2"/>
  <c r="N791" i="2"/>
  <c r="L791" i="2"/>
  <c r="K791" i="2"/>
  <c r="N812" i="2"/>
  <c r="L812" i="2"/>
  <c r="K812" i="2"/>
  <c r="R703" i="2"/>
  <c r="Q703" i="2"/>
  <c r="Q170" i="2"/>
  <c r="R170" i="2"/>
  <c r="K790" i="2"/>
  <c r="Q225" i="2"/>
  <c r="R236" i="2"/>
  <c r="R250" i="2"/>
  <c r="Q250" i="2"/>
  <c r="R269" i="2"/>
  <c r="R280" i="2"/>
  <c r="R289" i="2"/>
  <c r="R350" i="2"/>
  <c r="R359" i="2"/>
  <c r="R413" i="2"/>
  <c r="Q422" i="2"/>
  <c r="Q458" i="2"/>
  <c r="Q489" i="2"/>
  <c r="Q520" i="2"/>
  <c r="R562" i="2"/>
  <c r="R12" i="2"/>
  <c r="Q38" i="2"/>
  <c r="R54" i="2"/>
  <c r="Q54" i="2"/>
  <c r="R148" i="2"/>
  <c r="Q148" i="2"/>
  <c r="R164" i="2"/>
  <c r="Q164" i="2"/>
  <c r="Q223" i="2"/>
  <c r="R234" i="2"/>
  <c r="R414" i="2"/>
  <c r="Q414" i="2"/>
  <c r="R434" i="2"/>
  <c r="Q434" i="2"/>
  <c r="Q480" i="2"/>
  <c r="Q500" i="2"/>
  <c r="R511" i="2"/>
  <c r="R560" i="2"/>
  <c r="R614" i="2"/>
  <c r="Q614" i="2"/>
  <c r="R645" i="2"/>
  <c r="R659" i="2"/>
  <c r="Q659" i="2"/>
  <c r="N761" i="2"/>
  <c r="L761" i="2"/>
  <c r="K761" i="2"/>
  <c r="R8" i="2"/>
  <c r="Q34" i="2"/>
  <c r="R52" i="2"/>
  <c r="Q52" i="2"/>
  <c r="R69" i="2"/>
  <c r="R162" i="2"/>
  <c r="Q162" i="2"/>
  <c r="Q219" i="2"/>
  <c r="R230" i="2"/>
  <c r="Q252" i="2"/>
  <c r="Q276" i="2"/>
  <c r="Q299" i="2"/>
  <c r="R299" i="2"/>
  <c r="R307" i="2"/>
  <c r="R346" i="2"/>
  <c r="R409" i="2"/>
  <c r="R432" i="2"/>
  <c r="Q432" i="2"/>
  <c r="R448" i="2"/>
  <c r="Q448" i="2"/>
  <c r="Q478" i="2"/>
  <c r="Q518" i="2"/>
  <c r="Q538" i="2"/>
  <c r="R576" i="2"/>
  <c r="R612" i="2"/>
  <c r="Q612" i="2"/>
  <c r="R641" i="2"/>
  <c r="Q699" i="2"/>
  <c r="L779" i="2"/>
  <c r="N800" i="2"/>
  <c r="R604" i="2"/>
  <c r="Q604" i="2"/>
  <c r="K756" i="2"/>
  <c r="K786" i="2"/>
  <c r="Q352" i="2"/>
  <c r="R352" i="2"/>
  <c r="R583" i="2"/>
  <c r="Q583" i="2"/>
  <c r="R759" i="2" l="1"/>
  <c r="Q806" i="2"/>
  <c r="Q757" i="2"/>
  <c r="R805" i="2"/>
  <c r="Q805" i="2"/>
  <c r="R783" i="2"/>
  <c r="R765" i="2"/>
  <c r="Q770" i="2"/>
  <c r="R770" i="2"/>
  <c r="Q787" i="2"/>
  <c r="R787" i="2"/>
  <c r="R772" i="2"/>
  <c r="Q772" i="2"/>
  <c r="Q774" i="2"/>
  <c r="R800" i="2"/>
  <c r="Q800" i="2"/>
  <c r="Q801" i="2"/>
  <c r="R801" i="2"/>
  <c r="Q803" i="2"/>
  <c r="Q781" i="2"/>
  <c r="R781" i="2"/>
  <c r="Q811" i="2"/>
  <c r="R811" i="2"/>
  <c r="Q758" i="2"/>
  <c r="R789" i="2"/>
  <c r="Q789" i="2"/>
  <c r="Q784" i="2"/>
  <c r="R784" i="2"/>
  <c r="R763" i="2"/>
  <c r="Q763" i="2"/>
  <c r="Q760" i="2"/>
  <c r="R760" i="2"/>
  <c r="R786" i="2"/>
  <c r="Q786" i="2"/>
  <c r="R764" i="2"/>
  <c r="Q764" i="2"/>
  <c r="Q769" i="2"/>
  <c r="R769" i="2"/>
  <c r="R756" i="2"/>
  <c r="Q756" i="2"/>
  <c r="R771" i="2"/>
  <c r="Q771" i="2"/>
  <c r="Q796" i="2"/>
  <c r="R796" i="2"/>
  <c r="Q797" i="2"/>
  <c r="R797" i="2"/>
  <c r="R777" i="2"/>
  <c r="Q777" i="2"/>
  <c r="R775" i="2"/>
  <c r="Q775" i="2"/>
  <c r="Q761" i="2"/>
  <c r="R761" i="2"/>
  <c r="R812" i="2"/>
  <c r="Q812" i="2"/>
  <c r="R798" i="2"/>
  <c r="Q798" i="2"/>
  <c r="Q799" i="2"/>
  <c r="R799" i="2"/>
  <c r="R762" i="2"/>
  <c r="Q762" i="2"/>
  <c r="Q808" i="2"/>
  <c r="R808" i="2"/>
  <c r="R791" i="2"/>
  <c r="Q791" i="2"/>
  <c r="R779" i="2"/>
  <c r="Q779" i="2"/>
  <c r="R768" i="2"/>
  <c r="Q768" i="2"/>
  <c r="Q782" i="2"/>
  <c r="R782" i="2"/>
  <c r="R785" i="2"/>
  <c r="Q785" i="2"/>
  <c r="Q767" i="2"/>
  <c r="R767" i="2"/>
  <c r="R802" i="2"/>
  <c r="Q802" i="2"/>
  <c r="Q766" i="2"/>
  <c r="R766" i="2"/>
  <c r="Q778" i="2"/>
  <c r="R778" i="2"/>
  <c r="Q809" i="2"/>
  <c r="R809" i="2"/>
  <c r="Q795" i="2"/>
  <c r="R795" i="2"/>
  <c r="R776" i="2"/>
  <c r="Q776" i="2"/>
</calcChain>
</file>

<file path=xl/sharedStrings.xml><?xml version="1.0" encoding="utf-8"?>
<sst xmlns="http://schemas.openxmlformats.org/spreadsheetml/2006/main" count="5854" uniqueCount="458">
  <si>
    <t>Promo Performance Report — Data Update Guide</t>
  </si>
  <si>
    <t>Upload this file to Claude and say: "Update the promo report with this data."</t>
  </si>
  <si>
    <t>Sheet</t>
  </si>
  <si>
    <t>Instructions</t>
  </si>
  <si>
    <t>Funnel Data</t>
  </si>
  <si>
    <t>Add new rows for each SKU in a new promotion. Fill Promotion, SKU, Category, Sub-Category, Start/End Date, Promo Days, Applications Started, Gross Orders, and Deliveries. Yellow = required. The grey columns (conversion rates, per-day metrics) calculate automatically — do not edit them.</t>
  </si>
  <si>
    <t>Asset Data</t>
  </si>
  <si>
    <t>Add a 4-column group (Clicks | CTR | Image URL | Art Type) for each new promotion. Column header = promotion name spanning all 4 columns. Clicks = whole number, CTR = decimal (0.1489 for 14.89%), Image URL = paste the full URL of the banner image, Art Type = select from dropdown (Product-focused, Category-focused, Generic, Lifestyle, Promotional, Seasonal).</t>
  </si>
  <si>
    <t>New Promo Template</t>
  </si>
  <si>
    <t>Blank input rows you can copy into Funnel Data when starting a new promotion. Placeholder text shows expected format for each field.</t>
  </si>
  <si>
    <t>Tips</t>
  </si>
  <si>
    <t>Dates: M/D/YYYY format  |  CTR: decimal not percent (0.15 not 15%)  |  Do not delete or reorder existing rows  |  Yellow cells = required inputs</t>
  </si>
  <si>
    <t>Required Inputs (fill these in)</t>
  </si>
  <si>
    <t>Computed — do not edit</t>
  </si>
  <si>
    <t>Promotion</t>
  </si>
  <si>
    <t>SKU</t>
  </si>
  <si>
    <t>Category</t>
  </si>
  <si>
    <t>Sub-Category</t>
  </si>
  <si>
    <t>Start Date</t>
  </si>
  <si>
    <t>End Date</t>
  </si>
  <si>
    <t>Number of Promo Days</t>
  </si>
  <si>
    <t>Applications Started</t>
  </si>
  <si>
    <t>Gross Orders</t>
  </si>
  <si>
    <t>Deliveries</t>
  </si>
  <si>
    <t>Applications per Promo Day</t>
  </si>
  <si>
    <t>Gross Orders per Promo Day</t>
  </si>
  <si>
    <t>App-To-Order Conversion Rate</t>
  </si>
  <si>
    <t>Deliveries per Promo Day</t>
  </si>
  <si>
    <t>Order-to-Delivery Conversion Rate</t>
  </si>
  <si>
    <t>Full Funnel Completion Rate</t>
  </si>
  <si>
    <t>Weighted App-to-Order Score
(AO Rate × Apps/Day)</t>
  </si>
  <si>
    <t>Weighted Full Funnel Score
(FF Rate × Apps/Day)</t>
  </si>
  <si>
    <t>Up to 40% / 30% Off Select Products (Jan 1 – 14)</t>
  </si>
  <si>
    <t>7301LWS</t>
  </si>
  <si>
    <t>Electronics</t>
  </si>
  <si>
    <t>TVs</t>
  </si>
  <si>
    <t>7301QPQ</t>
  </si>
  <si>
    <t>7301LYX</t>
  </si>
  <si>
    <t>G00068M</t>
  </si>
  <si>
    <t>Laptop Computers</t>
  </si>
  <si>
    <t>G000432</t>
  </si>
  <si>
    <t>G00068P</t>
  </si>
  <si>
    <t>G000438</t>
  </si>
  <si>
    <t>7339ABG</t>
  </si>
  <si>
    <t>Gaming</t>
  </si>
  <si>
    <t>7339C41</t>
  </si>
  <si>
    <t>G0006F3</t>
  </si>
  <si>
    <t>Appliances</t>
  </si>
  <si>
    <t>Washers/Dryers</t>
  </si>
  <si>
    <t>G0006F4</t>
  </si>
  <si>
    <t>G00062Q</t>
  </si>
  <si>
    <t>G00062R</t>
  </si>
  <si>
    <t>7405WUC</t>
  </si>
  <si>
    <t>Refrigerators</t>
  </si>
  <si>
    <t>7405KMS</t>
  </si>
  <si>
    <t>7409AF0</t>
  </si>
  <si>
    <t>Ranges</t>
  </si>
  <si>
    <t>G0004KM</t>
  </si>
  <si>
    <t>Furniture</t>
  </si>
  <si>
    <t>Dining Sets</t>
  </si>
  <si>
    <t>G105820</t>
  </si>
  <si>
    <t>Sofas &amp; Loveseats</t>
  </si>
  <si>
    <t>7803HN8</t>
  </si>
  <si>
    <t>7325B7T</t>
  </si>
  <si>
    <t>TV Stands</t>
  </si>
  <si>
    <t>G00067S</t>
  </si>
  <si>
    <t>Bedroom Sets</t>
  </si>
  <si>
    <t>7601N5C</t>
  </si>
  <si>
    <t>Chests</t>
  </si>
  <si>
    <t>G0004H0</t>
  </si>
  <si>
    <t>7601W6G</t>
  </si>
  <si>
    <t>G0004H5</t>
  </si>
  <si>
    <t>7601STU</t>
  </si>
  <si>
    <t>G0001PQ</t>
  </si>
  <si>
    <t>Mattresses</t>
  </si>
  <si>
    <t>G0006GA</t>
  </si>
  <si>
    <t>Gaming Desktops</t>
  </si>
  <si>
    <t>TV Event (Jan 15 – 25)</t>
  </si>
  <si>
    <t>7301CRH</t>
  </si>
  <si>
    <t>7301FRP</t>
  </si>
  <si>
    <t>7301TC9</t>
  </si>
  <si>
    <t>7301FH4</t>
  </si>
  <si>
    <t>7301S9N</t>
  </si>
  <si>
    <t>7301A11</t>
  </si>
  <si>
    <t>7325XDT</t>
  </si>
  <si>
    <t>7325WC6</t>
  </si>
  <si>
    <t>7325PAT</t>
  </si>
  <si>
    <t>7325AXN</t>
  </si>
  <si>
    <t>Hot Deals (Jan 26 – 31)</t>
  </si>
  <si>
    <t>Living Room &amp; Laundry Event (Feb 2 – 9)</t>
  </si>
  <si>
    <t>7307J3X</t>
  </si>
  <si>
    <t>Home Theater &amp; Audio</t>
  </si>
  <si>
    <t>G0006HZ</t>
  </si>
  <si>
    <t>G0006GY</t>
  </si>
  <si>
    <t>G0006GX</t>
  </si>
  <si>
    <t>G00062S</t>
  </si>
  <si>
    <t>G00062T</t>
  </si>
  <si>
    <t>7405JFD</t>
  </si>
  <si>
    <t>7405RFG</t>
  </si>
  <si>
    <t>7409KZX</t>
  </si>
  <si>
    <t>7409KLV</t>
  </si>
  <si>
    <t>G000615</t>
  </si>
  <si>
    <t>G103550</t>
  </si>
  <si>
    <t>Sectionals</t>
  </si>
  <si>
    <t>G0002Q2</t>
  </si>
  <si>
    <t>G0002JW</t>
  </si>
  <si>
    <t>7803QZB</t>
  </si>
  <si>
    <t>Recliners &amp; Chairs</t>
  </si>
  <si>
    <t>G105848</t>
  </si>
  <si>
    <t>7601GV8</t>
  </si>
  <si>
    <t>G0004HA</t>
  </si>
  <si>
    <t>G0004MZ</t>
  </si>
  <si>
    <t>G0004GL</t>
  </si>
  <si>
    <t>7601VFQ</t>
  </si>
  <si>
    <t>G0003WN</t>
  </si>
  <si>
    <t>G0001PT</t>
  </si>
  <si>
    <t>G00068G</t>
  </si>
  <si>
    <t>G0003TJ</t>
  </si>
  <si>
    <t>G0003TK</t>
  </si>
  <si>
    <t>G0006F1</t>
  </si>
  <si>
    <t>G0006F2</t>
  </si>
  <si>
    <t>G0004HL</t>
  </si>
  <si>
    <t>G0005NA</t>
  </si>
  <si>
    <t>7804DT1</t>
  </si>
  <si>
    <t>Living Room Furniture</t>
  </si>
  <si>
    <t>G0004M6</t>
  </si>
  <si>
    <t>G0003XU</t>
  </si>
  <si>
    <t>7803QBX</t>
  </si>
  <si>
    <t>G0005KF</t>
  </si>
  <si>
    <t>G0006HG</t>
  </si>
  <si>
    <t>President's Day Event (Feb 12 – 17)</t>
  </si>
  <si>
    <t>G0004Y2</t>
  </si>
  <si>
    <t>G0004Y4</t>
  </si>
  <si>
    <t>G0004Y7</t>
  </si>
  <si>
    <t>7626XAL</t>
  </si>
  <si>
    <t>7626AC9</t>
  </si>
  <si>
    <t>G104548</t>
  </si>
  <si>
    <t>7601TE7</t>
  </si>
  <si>
    <t>G104562</t>
  </si>
  <si>
    <t>760117Y</t>
  </si>
  <si>
    <t>Pre-Tax Event (Feb 18 – 28)</t>
  </si>
  <si>
    <t>7307YWL</t>
  </si>
  <si>
    <t>G00068T</t>
  </si>
  <si>
    <t>G00062Y</t>
  </si>
  <si>
    <t>G00062Z</t>
  </si>
  <si>
    <t>740552J</t>
  </si>
  <si>
    <t>7201SWY</t>
  </si>
  <si>
    <t>Lawn Mowers</t>
  </si>
  <si>
    <t>72011ZV</t>
  </si>
  <si>
    <t>7201GGL</t>
  </si>
  <si>
    <t>720127Q</t>
  </si>
  <si>
    <t>7201BE4</t>
  </si>
  <si>
    <t>7201UEC</t>
  </si>
  <si>
    <t>G0002JY</t>
  </si>
  <si>
    <t>7833UEG</t>
  </si>
  <si>
    <t>G00068D</t>
  </si>
  <si>
    <t>7301FUE</t>
  </si>
  <si>
    <t>7405MHY</t>
  </si>
  <si>
    <t>7405P2B</t>
  </si>
  <si>
    <t>G0006X0</t>
  </si>
  <si>
    <t>7833GBX</t>
  </si>
  <si>
    <t>G0006WX</t>
  </si>
  <si>
    <t>7833VQ4</t>
  </si>
  <si>
    <t>G0006WU</t>
  </si>
  <si>
    <t>7833JSX</t>
  </si>
  <si>
    <t>G0006WR</t>
  </si>
  <si>
    <t>7833SUP</t>
  </si>
  <si>
    <t>G0006WB</t>
  </si>
  <si>
    <t>7601YQT</t>
  </si>
  <si>
    <t>Lucky Deals Under $10 Per Week (Mar. 2 – 11)</t>
  </si>
  <si>
    <t>7301Q7Z</t>
  </si>
  <si>
    <t>7307VTY</t>
  </si>
  <si>
    <t>7401HNX</t>
  </si>
  <si>
    <t>7403M5Q</t>
  </si>
  <si>
    <t>7401MYX</t>
  </si>
  <si>
    <t>7403MJQ</t>
  </si>
  <si>
    <t>7801QZU</t>
  </si>
  <si>
    <t>780147E</t>
  </si>
  <si>
    <t>G0005N9</t>
  </si>
  <si>
    <t>7803L3W</t>
  </si>
  <si>
    <t>G00066P</t>
  </si>
  <si>
    <t>7307DBU</t>
  </si>
  <si>
    <t>G0006HP</t>
  </si>
  <si>
    <t>7339FMC</t>
  </si>
  <si>
    <t>G0004TE</t>
  </si>
  <si>
    <t>G0004TF</t>
  </si>
  <si>
    <t>G000632</t>
  </si>
  <si>
    <t>G000633</t>
  </si>
  <si>
    <t>7405NBK</t>
  </si>
  <si>
    <t>7409XRM</t>
  </si>
  <si>
    <t>G000617</t>
  </si>
  <si>
    <t>G0004ZR</t>
  </si>
  <si>
    <t>7804UFE</t>
  </si>
  <si>
    <t>Ottomans</t>
  </si>
  <si>
    <t>G0006FX</t>
  </si>
  <si>
    <t>7350DCC</t>
  </si>
  <si>
    <t>G0004GA</t>
  </si>
  <si>
    <t>7601W9L</t>
  </si>
  <si>
    <t>G0004G6</t>
  </si>
  <si>
    <t>7601XN1</t>
  </si>
  <si>
    <t>G0004GF</t>
  </si>
  <si>
    <t>7601WG0</t>
  </si>
  <si>
    <t>G00066T</t>
  </si>
  <si>
    <t>G00066R</t>
  </si>
  <si>
    <t>Mid-Month Electronics Event (Mar. 12 – 19)</t>
  </si>
  <si>
    <t>7301YN1</t>
  </si>
  <si>
    <t>7301CMM</t>
  </si>
  <si>
    <t>7301GLV</t>
  </si>
  <si>
    <t>7833YGF</t>
  </si>
  <si>
    <t>7833KEZ</t>
  </si>
  <si>
    <t>G00068E</t>
  </si>
  <si>
    <t>G00068F</t>
  </si>
  <si>
    <t>Refrigerator &amp; Dining Event (Mar. 24 – 31)</t>
  </si>
  <si>
    <t>7405JKV</t>
  </si>
  <si>
    <t>7405FXL</t>
  </si>
  <si>
    <t>7405KZ8</t>
  </si>
  <si>
    <t>7405LKY</t>
  </si>
  <si>
    <t>Electronics Event + Budget Booster Deals (Apr. 1 – 5)</t>
  </si>
  <si>
    <t>7327Z53</t>
  </si>
  <si>
    <t>G0006HK</t>
  </si>
  <si>
    <t>7339JK5</t>
  </si>
  <si>
    <t>G0006FG</t>
  </si>
  <si>
    <t>G0005NB</t>
  </si>
  <si>
    <t>7350D17</t>
  </si>
  <si>
    <t>G105017</t>
  </si>
  <si>
    <t>7601BP6</t>
  </si>
  <si>
    <t>7307Z4N</t>
  </si>
  <si>
    <t>7307C9E</t>
  </si>
  <si>
    <t>G00068R</t>
  </si>
  <si>
    <t>G000436</t>
  </si>
  <si>
    <t>7339BNL</t>
  </si>
  <si>
    <t>7339Y2F</t>
  </si>
  <si>
    <t>7339CQS</t>
  </si>
  <si>
    <t>7339ZDP</t>
  </si>
  <si>
    <t>Spring Hot Deals + Lawn Mowers (Apr. 8 - 15)</t>
  </si>
  <si>
    <t>7833G9T</t>
  </si>
  <si>
    <t>G0002Q4</t>
  </si>
  <si>
    <t>7833SVK</t>
  </si>
  <si>
    <t>G0005E5</t>
  </si>
  <si>
    <t>Extended Spring Hot Deals + No Payments Till May (Apr. 16 - 22)</t>
  </si>
  <si>
    <t>7403DLP</t>
  </si>
  <si>
    <t>EOM Flash Sale (Apr. 23 - 30)</t>
  </si>
  <si>
    <t>7301YL1</t>
  </si>
  <si>
    <t>7804L9V</t>
  </si>
  <si>
    <t>G103579</t>
  </si>
  <si>
    <t>May BOM Under $70 (May 1 - 5)</t>
  </si>
  <si>
    <t>7310RNA</t>
  </si>
  <si>
    <t>7401CAW</t>
  </si>
  <si>
    <t>7401LZ3</t>
  </si>
  <si>
    <t>7405PVU</t>
  </si>
  <si>
    <t>7409AD0</t>
  </si>
  <si>
    <t>7409WN0</t>
  </si>
  <si>
    <t>7407B76</t>
  </si>
  <si>
    <t>Freezers</t>
  </si>
  <si>
    <t>May BOM Under $70 + May Mother's Day Living Room Event (May 6 - 12)</t>
  </si>
  <si>
    <t>Memorial Day Early Access + Under $70 (May 13 - 20)</t>
  </si>
  <si>
    <t>G0006HV</t>
  </si>
  <si>
    <t>7339U41</t>
  </si>
  <si>
    <t>7405FZT</t>
  </si>
  <si>
    <t>7804BS1</t>
  </si>
  <si>
    <t>G0005E7</t>
  </si>
  <si>
    <t>Memorial Day Event (May 21 - June 1)</t>
  </si>
  <si>
    <t>Early Summer Kickoff (June 2 - 10)</t>
  </si>
  <si>
    <t>7301ANP</t>
  </si>
  <si>
    <t>7307D1K</t>
  </si>
  <si>
    <t>7339TTA</t>
  </si>
  <si>
    <t>G0005E6</t>
  </si>
  <si>
    <t>7307S52</t>
  </si>
  <si>
    <t>7801QRU</t>
  </si>
  <si>
    <t>No Payments until July 1st (June 11 - 17)</t>
  </si>
  <si>
    <t>G00066G</t>
  </si>
  <si>
    <t>G00066H</t>
  </si>
  <si>
    <t>7301ZK1</t>
  </si>
  <si>
    <t>7301FM0</t>
  </si>
  <si>
    <t>7301NTJ</t>
  </si>
  <si>
    <t>Weekend Flash Sale (June 18 - 21)</t>
  </si>
  <si>
    <t>7301X6Z</t>
  </si>
  <si>
    <t>Hot Summer Savings (June 22 - 30)</t>
  </si>
  <si>
    <t>7339APZ</t>
  </si>
  <si>
    <t>7405D4X</t>
  </si>
  <si>
    <t>7405MHN</t>
  </si>
  <si>
    <t>Black Friday All Month Long (July 1 - 2)</t>
  </si>
  <si>
    <t>7301XMK</t>
  </si>
  <si>
    <t>7307XQ0</t>
  </si>
  <si>
    <t>7310H2V</t>
  </si>
  <si>
    <t>G00075E</t>
  </si>
  <si>
    <t>G00075F</t>
  </si>
  <si>
    <t>7412NU9</t>
  </si>
  <si>
    <t>4th of July Weekend Flash Sale (July 3 - 6)</t>
  </si>
  <si>
    <t>7327ZBA</t>
  </si>
  <si>
    <t>G0006BQ</t>
  </si>
  <si>
    <t>G00049C</t>
  </si>
  <si>
    <t>G0006HM</t>
  </si>
  <si>
    <t>7401Q7H</t>
  </si>
  <si>
    <t>7401K9E</t>
  </si>
  <si>
    <t>7403PUR</t>
  </si>
  <si>
    <t>7407HC2</t>
  </si>
  <si>
    <t>Black Friday All Month Long (July 7 - 15)</t>
  </si>
  <si>
    <t>Sizzling Summer Savings (July 16 - 24)</t>
  </si>
  <si>
    <t>7412ZN7</t>
  </si>
  <si>
    <t>G103559</t>
  </si>
  <si>
    <t>Last Chance: Black Friday All Month Long (July 25 - 31)</t>
  </si>
  <si>
    <t>Asset</t>
  </si>
  <si>
    <t>Jan. 1 - 14: Up to 40%/30% Off</t>
  </si>
  <si>
    <t>Jan. 15 - 25: TV Event</t>
  </si>
  <si>
    <t>Jan. 26 - 31: Hot Deals</t>
  </si>
  <si>
    <t>Feb. 2 - 9: Living Room &amp; Laundr</t>
  </si>
  <si>
    <t>Feb. 12 - 17: President's Day</t>
  </si>
  <si>
    <t>Feb. 18 - 28: Pre-Tax</t>
  </si>
  <si>
    <t>Mar. 2 -11: Lucky Deals Under $10</t>
  </si>
  <si>
    <t>Mar. 12 - 19: Mid-Month Entertainment Event</t>
  </si>
  <si>
    <t>Mar. 24 - 31: Refrigerator &amp; Din</t>
  </si>
  <si>
    <t>Apr. 1 - 5: Electronics + Budget</t>
  </si>
  <si>
    <t xml:space="preserve">Apr. 8 - 15: Spring Hot Deals + Lawn Mowers </t>
  </si>
  <si>
    <t>Apr. 16 - 22: Extended Spring Ho</t>
  </si>
  <si>
    <t>Apr. 23 - 30: Spring Flash</t>
  </si>
  <si>
    <t>May 1 - 5: May BOM Under $70</t>
  </si>
  <si>
    <t>May 6 - 12: Under $70 + Mother's</t>
  </si>
  <si>
    <t>May 13 - 20: Early Access Memori</t>
  </si>
  <si>
    <t>May 21 - June 1: Memorial Day Ev</t>
  </si>
  <si>
    <t>June 2  - 10: Early Summer Kickoff</t>
  </si>
  <si>
    <t>June 11 - 17: No Payments until July 1st</t>
  </si>
  <si>
    <t>June 18 - 21: Weekend Flash Sale</t>
  </si>
  <si>
    <t>June 22 - 30: Hot Summer Savings</t>
  </si>
  <si>
    <t>July 1 - 2: Black Friday All Month Long</t>
  </si>
  <si>
    <t>July 3 - 6: 4th of July Weekend Flash Sale</t>
  </si>
  <si>
    <t>July 7 - 15: Black Friday All Month Long</t>
  </si>
  <si>
    <t>July 16 - 24: Sizzling Summer Savings</t>
  </si>
  <si>
    <t>July 25 - 31: Last Chance: Black Friday All Month Long</t>
  </si>
  <si>
    <t>← Promotion →</t>
  </si>
  <si>
    <t>Clicks</t>
  </si>
  <si>
    <t>CTR</t>
  </si>
  <si>
    <t>Image URL</t>
  </si>
  <si>
    <t>Art Type</t>
  </si>
  <si>
    <t>Homepage Hero</t>
  </si>
  <si>
    <t>https://i8.amplience.net/i/aarons/01_05_Me_Time_Promo_HP_Hero_M_1404x1208_P19_and_S59</t>
  </si>
  <si>
    <t>Product-focused</t>
  </si>
  <si>
    <t>https://i8.amplience.net/i/aarons/01_15_Big_Screen_Comeback_Promo_HP_Hero_M_1404x1208</t>
  </si>
  <si>
    <t>https://i8.amplience.net/i/aarons/01_26_Hot_Deals_Promo_HP_Hero_M_1404x1208_P19</t>
  </si>
  <si>
    <t>Promotional</t>
  </si>
  <si>
    <t>https://i8.amplience.net/i/aarons/02_02_Laundry_Living_Room_Event_Promo_HP_Hero_M_1404x1208_P19</t>
  </si>
  <si>
    <t>https://i8.amplience.net/i/aarons/02_12_30_Presidents_Day_30Penn_HP_Hero_M_1404x1208</t>
  </si>
  <si>
    <t>https://i8.amplience.net/i/aarons/v2_02_18_Pre-tax_Plus_Up_Promo_HP_Hero_M_1404x1208_35OFF</t>
  </si>
  <si>
    <t>https://i8.amplience.net/i/aarons/03_02_Lucky_Deals_HP_Hero_M_1404x1208</t>
  </si>
  <si>
    <t>https://i8.amplience.net/i/aarons/03_12_entertainment_event_Promo_HP_Hero_M_1404x1208_P19</t>
  </si>
  <si>
    <t>https://i8.amplience.net/i/aarons/New_03_24_Refrigerator_Dining_Eventt_HP_Hero_M_1404x1208</t>
  </si>
  <si>
    <t>https://i8.amplience.net/i/aarons/04_01_Electronics_Event_HP_Hero_M_1404x1208_P19</t>
  </si>
  <si>
    <t>https://i8.amplience.net/i/aarons/04_08_Mower_Event_HD_HP_Hero_M_1404x1208-30</t>
  </si>
  <si>
    <t>https://i8.amplience.net/i/aarons/04_16_Hot_Deals_Plus_NP_Promo_HP_Hero_M_1404x1208_P19</t>
  </si>
  <si>
    <t>https://i8.amplience.net/i/aarons/04_23_Spring_Flash_Sale_HP_Hero_M_1404x1208</t>
  </si>
  <si>
    <t>https://i8.amplience.net/i/aarons/05_01_Products_Under_70_Promo_HP_Hero_M_1404x1208</t>
  </si>
  <si>
    <t>https://i8.amplience.net/i/aarons/05_13_Memorial_Day_Early_Access_Evt_HP_Hero_M_1404x1208</t>
  </si>
  <si>
    <t>https://i8.amplience.net/i/aarons/05_21_Memorial_Day_25Perc_HP_Hero_M_1404x1208\</t>
  </si>
  <si>
    <t>https://i8.amplience.net/i/aarons/02_18_Pre-tax_Plus_Up_Promo_HP_Hero_M_1404x1208_P19</t>
  </si>
  <si>
    <t>https://i8.amplience.net/i/aarons/06_11_No_Payments_Penny_HP_Hero_M_1404x1208</t>
  </si>
  <si>
    <t>Limited Time Deal 1</t>
  </si>
  <si>
    <t>https://i8.amplience.net/i/aarons/Slot_1_Penny_LTD_Tile_D_1044x576</t>
  </si>
  <si>
    <t>Generic</t>
  </si>
  <si>
    <t>https://i8.amplience.net/i/aarons/01_15_Big_Screen_Comeback_Slot_1_Penny_LTD_Tile_D_1044x576</t>
  </si>
  <si>
    <t>https://i8.amplience.net/i/aarons/Slot_1_Penny_LTD_Tile_M_1344x1572_laundry</t>
  </si>
  <si>
    <t>https://i8.amplience.net/i/aarons/Fastlane5000Sweepstakes_LTD2_Tile_M_1344x1572</t>
  </si>
  <si>
    <t>Other</t>
  </si>
  <si>
    <t>https://i8.amplience.net/i/aarons/02_18_Pre-tax_Plus_Up_Slot_1_Penny_LTD_Tile_M_1344x1572</t>
  </si>
  <si>
    <t>Category-focused</t>
  </si>
  <si>
    <t>https://i8.amplience.net/i/aarons/03_02_Lucky_Deals_PP_Matts_Deal_Alerts_M_1344x1572</t>
  </si>
  <si>
    <t>https://i8.amplience.net/i/aarons/03_12_Mid-Month_Ent_Event_Promo_Slot_1_Penny_LTD_Tile_M_1344x1572</t>
  </si>
  <si>
    <t>https://i8.amplience.net/i/aarons/AAR2603_LuckysHeroes_LTDTiles3_M_1404x884_r1</t>
  </si>
  <si>
    <t>https://i8.amplience.net/i/aarons/v2_04_08_Mower_Event_Penny_TVs_PP_M_1344x1572</t>
  </si>
  <si>
    <t>https://i8.amplience.net/i/aarons/04_16_Natl_Slot_1_Penny_LTD_Tile_M_1344x1572</t>
  </si>
  <si>
    <t>https://i8.amplience.net/i/aarons/Update_04_23_Spring_Flash_Sale_WDs_PP_M_1344x1572</t>
  </si>
  <si>
    <t>https://i8.amplience.net/i/aarons/05_01_Products_Under_70_Promo_Slot_1_Element_LTD_WDs_01_M_1344x1572</t>
  </si>
  <si>
    <t>https://i8.amplience.net/i/aarons/05_13_Early_Access_Memorial_Day_Promo_LTD_Tile_Slot_1_Penny_LTD_Tile_M_1344x1572_P19</t>
  </si>
  <si>
    <t>https://i8.amplience.net/i/aarons/05_20_Mower_Savings_Promo_LTD_01_M_1344x1572rev2</t>
  </si>
  <si>
    <t>https://i8.amplience.net/i/aarons/Update_06_02_Summer_Kickoff_Promo_LTD_Tiles_Slot_1_Penny_LTD_Tile_M_1344x1572_P19</t>
  </si>
  <si>
    <t>https://i8.amplience.net/i/aarons/06_11_No_Payments_Penny_LTD_WDs_PP_D_1044x576</t>
  </si>
  <si>
    <t>Limited Time Deal 2</t>
  </si>
  <si>
    <t>https://i8.amplience.net/i/aarons/Slot_2_SMS_LTD_Tile_D_1044x576</t>
  </si>
  <si>
    <t>https://i8.amplience.net/i/aarons/01_19_Replacement_Assets_Slot_2_LTD_Tile_M_1344x1572</t>
  </si>
  <si>
    <t>https://i8.amplience.net/i/aarons/Slot_2_LTD_Tile_M_1344x1572</t>
  </si>
  <si>
    <t>https://i8.amplience.net/i/aarons/02_12_Presidents_Day_Matt_Deal_Alerts_M_1344x1572</t>
  </si>
  <si>
    <t>Brand-focused</t>
  </si>
  <si>
    <t>https://i8.amplience.net/i/aarons/04_01_Electronics_Event_Promo_Slot_2_LTD_Tile_M_1344x1572</t>
  </si>
  <si>
    <t>https://i8.amplience.net/i/aarons/v2_04_08_Mower_Event_WDs_PP_M_1344x1572</t>
  </si>
  <si>
    <t>https://i8.amplience.net/i/aarons/04_16_Natl_Slot_3_LTD_Tile_New_HP_mobile_1404x884</t>
  </si>
  <si>
    <t>https://i8.amplience.net/i/aarons/Update_04_23_Spring_Flash_Sale_TVs_Deal_Alerts_M_1344x1572</t>
  </si>
  <si>
    <t>https://i8.amplience.net/i/aarons/05_01_Products_Under_70_Promo_Slot_2_Element_TV_LTD_M_1344x1572</t>
  </si>
  <si>
    <t>https://i8.amplience.net/i/aarons/05_13_Early_Access_Memorial_Day_Promo_LTD_Tile_Slot_2_LTD_Tile_M_1344x1572_P19</t>
  </si>
  <si>
    <t>https://i8.amplience.net/i/aarons/05_21_Memorial_Day_E25Perc_FD_HP_Promo_Slot_2_LTD_Tile_M_1344x1572_P19</t>
  </si>
  <si>
    <t>Limited Time Deal 3</t>
  </si>
  <si>
    <t>https://i8.amplience.net/i/aarons/Slot_3_Select_TVs_P19_LTD_Tile_New_HP_mobile_1404x884</t>
  </si>
  <si>
    <t>https://i8.amplience.net/i/aarons/01_19_Replacement_Assets_Slot_3_LTD_Tile_New_HP_mobile_1404x884_P19</t>
  </si>
  <si>
    <t>https://i8.amplience.net/i/aarons/Slot_3_LTD_Tile_New_HP_mobile_1404x884_70OFF</t>
  </si>
  <si>
    <t>https://i8.amplience.net/i/aarons/02_12_Presidents_Day_Matt_M_1404x884-20</t>
  </si>
  <si>
    <t>https://i8.amplience.net/i/aarons/02_18_Pre-tax_Plus_Up_Slot_3_LTD_Tile_New_HP_mobile_1404x884_20OFF</t>
  </si>
  <si>
    <t>https://i8.amplience.net/i/aarons/03_24_Refrigerator_Dining_Event_LTD_DD_New_HP_M_1404x884</t>
  </si>
  <si>
    <t>https://i8.amplience.net/i/aarons/04_01_Electronics_Event_Promo_Slot_3_LTD_Tile_New_HP_mobile_1404x884_P19</t>
  </si>
  <si>
    <t>https://i8.amplience.net/i/aarons/04_08_Mower_Event_Penny_Deal_Drop_New_HP_M_1404x884</t>
  </si>
  <si>
    <t>https://i8.amplience.net/i/aarons/04_23_Spring_Flash_Sale_Clear_New_HP_M_1404x884</t>
  </si>
  <si>
    <t>https://i8.amplience.net/i/aarons/05_01_Products_Under_70_Promo_Slot_3_Envy_LTD_M_1404x884</t>
  </si>
  <si>
    <t>https://i8.amplience.net/i/aarons/Slot_3_LTD_Tile_New_HP_mobile_1404x884</t>
  </si>
  <si>
    <t>https://i8.amplience.net/i/aarons/05_13_Early_Access_Memorial_Day_Promo_LTD_Tile_Slot_3_LTD_Tile_New_HP_mobile_1404x884_P19</t>
  </si>
  <si>
    <t>https://i8.amplience.net/i/aarons/05_21_Memorial_Day_E25Perc_FD_HP_Promo_Slot_3_LTD_Tile_New_HP_mobile_1404x884_P19</t>
  </si>
  <si>
    <t>https://i8.amplience.net/i/aarons/06_02_Laundry_Event_Promo_NEW_HP_FD_Tile_M_1404x819_P19</t>
  </si>
  <si>
    <t>https://i8.amplience.net/i/aarons/06_11_No_Payments_Penny_Deal_Drop_New_HP_D_2150x574</t>
  </si>
  <si>
    <t>Limited Time Deal 4</t>
  </si>
  <si>
    <t>https://i8.amplience.net/i/aarons/P19_Slot_4_HP_Laptops_LTD_Tile_D_1044x1214</t>
  </si>
  <si>
    <t>https://i8.amplience.net/i/aarons/01_15_Big_Screen_Comeback_Slot_4_LTD_Tile_M_1404x655</t>
  </si>
  <si>
    <t>https://i8.amplience.net/i/aarons/01_26_Pre_Leased_Event_SALE_tile_mobile</t>
  </si>
  <si>
    <t>https://i8.amplience.net/i/aarons/02_02_Laundry_Living_Room_Event_Promo_Slot_4_LTD_Tile_M_1404x655_Whirlpool_B</t>
  </si>
  <si>
    <t>https://i8.amplience.net/i/aarons/02_12_Presidents_Day_BR_25_tile_mobile</t>
  </si>
  <si>
    <t>https://i8.amplience.net/i/aarons/02_18_Pre-tax_Plus_Up_Slot_4_LTD_Tile_M_1404x655_Refurbished_Finds</t>
  </si>
  <si>
    <t>https://i8.amplience.net/i/aarons/03_02_Lucky_Deals_SALE_tile_mobile</t>
  </si>
  <si>
    <t>https://i8.amplience.net/i/aarons/03_12_Mid-Month_Ent_Event_Promo_Slot_4_LTD_Tile_M_1404x655</t>
  </si>
  <si>
    <t>https://i8.amplience.net/i/aarons/03_24_Refrigerator_Dining_Event_LTD_SALE_tile_M</t>
  </si>
  <si>
    <t>https://i8.amplience.net/i/aarons/04_01_Electronics_Event_Promo_Slot_4_LTD_Tile_M_1404x655_P19</t>
  </si>
  <si>
    <t>https://i8.amplience.net/i/aarons/v3_04_08_Mower_Evt_PL_SALE_tile_m</t>
  </si>
  <si>
    <t>https://i8.amplience.net/i/aarons/04_16_P19_Slot_4_LTD_P19_Tile_M_1404x655</t>
  </si>
  <si>
    <t>https://i8.amplience.net/i/aarons/04_23_Spring_Flash_Sale_LR_PP_tile_mobile</t>
  </si>
  <si>
    <t>https://i8.amplience.net/i/aarons/05_01_Products_Under_70_Promo_Slot_4_LTD_Tile_M_1404x655</t>
  </si>
  <si>
    <t>https://i8.amplience.net/i/aarons/05_06_Mothers_Day_LR_Event_Slot_4_LTD_Tile_M_1404x655_P19</t>
  </si>
  <si>
    <t>https://i8.amplience.net/i/aarons/05_13_Early_Access_Memorial_Day_Promo_LTD_Tile_Slot_4_LTD_Tile_M_1404x655_P19</t>
  </si>
  <si>
    <t>https://i8.amplience.net/i/aarons/05_21_Memorial_Day_E25Perc_FD_HP_Promo_Slot_4_LTD_Tile_M_1404x655_P19</t>
  </si>
  <si>
    <t>https://i8.amplience.net/i/aarons/06_02_Summer_Kickoff_Promo_OPP_Slot_4_LTD_Tile_M_1404x655</t>
  </si>
  <si>
    <t>https://i8.amplience.net/i/aarons/06_11_No_Payments_Penny_LTD_Slot_4_LTD_Tile_D_1044x1214</t>
  </si>
  <si>
    <t>Total Homepage Clicks</t>
  </si>
  <si>
    <t>New Promotion Template — copy these rows into Funnel Data when adding a new promotion</t>
  </si>
  <si>
    <t>e.g. Summer Event (Jul 1 - 10)</t>
  </si>
  <si>
    <t>e.g. 7301LWS</t>
  </si>
  <si>
    <t>e.g. Electronics</t>
  </si>
  <si>
    <t>e.g. TVs</t>
  </si>
  <si>
    <t>M/D/YYYY</t>
  </si>
  <si>
    <t>whole number</t>
  </si>
  <si>
    <t>For homepage asset data (Clicks, CTR, Image URL, Art Type), add to the Asset Data sheet — one column group per promotion.</t>
  </si>
  <si>
    <t/>
  </si>
  <si>
    <t xml:space="preserve">G00068M </t>
  </si>
  <si>
    <t>7350NZ3</t>
  </si>
  <si>
    <t xml:space="preserve">7301FH4 </t>
  </si>
  <si>
    <t xml:space="preserve">7201SWY </t>
  </si>
  <si>
    <t xml:space="preserve">7201PW4 </t>
  </si>
  <si>
    <t>7201AT0</t>
  </si>
  <si>
    <t>7350XZ7</t>
  </si>
  <si>
    <t>Accent Chairs</t>
  </si>
  <si>
    <t>Living Room Sets</t>
  </si>
  <si>
    <t>Lawn Equipment &amp; Tools</t>
  </si>
  <si>
    <t>Fireplaces</t>
  </si>
  <si>
    <t>Gaming Laptops</t>
  </si>
  <si>
    <t>Appliance</t>
  </si>
  <si>
    <t>Gaming Desktop</t>
  </si>
  <si>
    <t>Window Air Conditioners</t>
  </si>
  <si>
    <t>https://i8.amplience.net/i/aarons/06_18_Flash_Sale_TVs_PP_D_1044x576</t>
  </si>
  <si>
    <t>https://i8.amplience.net/i/aarons/06_18_Flash_Sale_Laptops_PP_D_1044x576</t>
  </si>
  <si>
    <t>https://i8.amplience.net/i/aarons/06_01_Drive_Into_Summer_Sweeps_Slot_3_LTD_Tile_New_HP_desktop_2150x574</t>
  </si>
  <si>
    <t>https://i8.amplience.net/i/aarons/06_18_Flash_Sale_Slot_4_LTD_Tile_D_1044x1214</t>
  </si>
  <si>
    <t>https://i8.amplience.net/i/aarons/06_18_Flash_Sale_1200_HP_Hero_M_1404x1208</t>
  </si>
  <si>
    <t>https://i8.amplience.net/i/aarons/06_22_Summer_Hot_Picks_25_HP_Hero_M_1404x1208</t>
  </si>
  <si>
    <t>https://i8.amplience.net/i/aarons/06_01_Drive_Into_Summer_Sweeps_06_01_Drive_Into_Summer_Sweeps_Slot_1_Penny_LTD_Tile_D_1044x576</t>
  </si>
  <si>
    <t>https://i8.amplience.net/i/aarons/06_22_Summer_Hot_Picks_Deal_Drop_New_HP_D_2150x574</t>
  </si>
  <si>
    <t>https://i8.amplience.net/i/aarons/06_22_Summer_Hot_Picks_50Perc_SALE_tile_desktop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</si>
</sst>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6" x14ac:knownFonts="1">
    <font>
      <sz val="11"/>
      <color theme="1"/>
      <name val="Calibri"/>
      <family val="2"/>
      <charset val="1"/>
    </font>
    <font>
      <b/>
      <sz val="13"/>
      <color rgb="FF1E3A5F"/>
      <name val="Arial"/>
      <family val="2"/>
      <charset val="1"/>
    </font>
    <font>
      <i/>
      <sz val="10"/>
      <color rgb="FF555555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sz val="9"/>
      <color rgb="FFFFFFFF"/>
      <name val="Arial"/>
      <charset val="1"/>
    </font>
    <font>
      <sz val="10"/>
      <color rgb="FF666666"/>
      <name val="Arial"/>
      <family val="2"/>
      <charset val="1"/>
    </font>
    <font>
      <sz val="10"/>
      <color rgb="FF666666"/>
      <name val="Arial"/>
      <charset val="1"/>
    </font>
    <font>
      <b/>
      <sz val="8"/>
      <color rgb="FFFFFFFF"/>
      <name val="Arial"/>
      <family val="2"/>
      <charset val="1"/>
    </font>
    <font>
      <b/>
      <sz val="8"/>
      <color rgb="FFFFFFF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charset val="1"/>
    </font>
    <font>
      <b/>
      <sz val="11"/>
      <color rgb="FF5C3D00"/>
      <name val="Arial"/>
      <family val="2"/>
      <charset val="1"/>
    </font>
    <font>
      <i/>
      <sz val="9"/>
      <color rgb="FFBBBBBB"/>
      <name val="Arial"/>
      <family val="2"/>
      <charset val="1"/>
    </font>
    <font>
      <i/>
      <sz val="9"/>
      <color rgb="FF888888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EDF2FB"/>
        <bgColor rgb="FFF2F1ED"/>
      </patternFill>
    </fill>
    <fill>
      <patternFill patternType="solid">
        <fgColor rgb="FF3D3D3D"/>
        <bgColor rgb="FF1E3A5F"/>
      </patternFill>
    </fill>
    <fill>
      <patternFill patternType="solid">
        <fgColor rgb="FFF2F1ED"/>
        <bgColor rgb="FFEDF2FB"/>
      </patternFill>
    </fill>
    <fill>
      <patternFill patternType="solid">
        <fgColor rgb="FFFFFFFF"/>
        <bgColor rgb="FFFFFDE7"/>
      </patternFill>
    </fill>
    <fill>
      <patternFill patternType="solid">
        <fgColor rgb="FF1E3A5F"/>
        <bgColor rgb="FF3D3D3D"/>
      </patternFill>
    </fill>
    <fill>
      <patternFill patternType="solid">
        <fgColor rgb="FFFFFDE7"/>
        <bgColor rgb="FFFEF3E2"/>
      </patternFill>
    </fill>
    <fill>
      <patternFill patternType="solid">
        <fgColor rgb="FFFEF3E2"/>
        <bgColor rgb="FFF2F1ED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1" fillId="0" borderId="0"/>
  </cellStyleXfs>
  <cellXfs count="3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left" vertical="center"/>
    </xf>
    <xf numFmtId="14" fontId="5" fillId="7" borderId="1" xfId="0" applyNumberFormat="1" applyFont="1" applyFill="1" applyBorder="1" applyAlignment="1">
      <alignment horizontal="center" vertical="center"/>
    </xf>
    <xf numFmtId="1" fontId="5" fillId="7" borderId="1" xfId="0" applyNumberFormat="1" applyFont="1" applyFill="1" applyBorder="1" applyAlignment="1">
      <alignment horizontal="right" vertical="center"/>
    </xf>
    <xf numFmtId="3" fontId="5" fillId="7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right" vertical="center"/>
    </xf>
    <xf numFmtId="165" fontId="7" fillId="4" borderId="1" xfId="0" applyNumberFormat="1" applyFont="1" applyFill="1" applyBorder="1" applyAlignment="1">
      <alignment horizontal="right" vertical="center"/>
    </xf>
    <xf numFmtId="2" fontId="8" fillId="4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10" fontId="5" fillId="7" borderId="1" xfId="0" applyNumberFormat="1" applyFont="1" applyFill="1" applyBorder="1" applyAlignment="1">
      <alignment horizontal="right" vertical="center"/>
    </xf>
    <xf numFmtId="0" fontId="11" fillId="7" borderId="1" xfId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0" fontId="12" fillId="7" borderId="1" xfId="0" applyNumberFormat="1" applyFont="1" applyFill="1" applyBorder="1" applyAlignment="1">
      <alignment horizontal="right" vertical="center"/>
    </xf>
    <xf numFmtId="0" fontId="12" fillId="7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left" vertical="center"/>
    </xf>
    <xf numFmtId="0" fontId="11" fillId="0" borderId="0" xfId="1"/>
    <xf numFmtId="0" fontId="5" fillId="7" borderId="1" xfId="0" applyFont="1" applyFill="1" applyBorder="1" applyAlignment="1">
      <alignment horizontal="left" vertical="center"/>
    </xf>
    <xf numFmtId="0" fontId="11" fillId="9" borderId="0" xfId="1" applyFill="1"/>
    <xf numFmtId="0" fontId="3" fillId="6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9" fillId="6" borderId="2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88888"/>
      <rgbColor rgb="FF9999FF"/>
      <rgbColor rgb="FF993366"/>
      <rgbColor rgb="FFFFFDE7"/>
      <rgbColor rgb="FFEDF2FB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EF3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5C3D00"/>
      <rgbColor rgb="FF993300"/>
      <rgbColor rgb="FF993366"/>
      <rgbColor rgb="FF555555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i8.amplience.net/i/aarons/AAR2603_LuckysHeroes_LTDTiles3_M_1404x884_r1" TargetMode="External"/><Relationship Id="rId21" Type="http://schemas.openxmlformats.org/officeDocument/2006/relationships/hyperlink" Target="https://i8.amplience.net/i/aarons/Slot_1_Penny_LTD_Tile_M_1344x1572_laundry" TargetMode="External"/><Relationship Id="rId42" Type="http://schemas.openxmlformats.org/officeDocument/2006/relationships/hyperlink" Target="https://i8.amplience.net/i/aarons/Fastlane5000Sweepstakes_LTD2_Tile_M_1344x1572" TargetMode="External"/><Relationship Id="rId47" Type="http://schemas.openxmlformats.org/officeDocument/2006/relationships/hyperlink" Target="https://i8.amplience.net/i/aarons/Update_04_23_Spring_Flash_Sale_TVs_Deal_Alerts_M_1344x1572" TargetMode="External"/><Relationship Id="rId63" Type="http://schemas.openxmlformats.org/officeDocument/2006/relationships/hyperlink" Target="https://i8.amplience.net/i/aarons/04_01_Electronics_Event_Promo_Slot_3_LTD_Tile_New_HP_mobile_1404x884_P19" TargetMode="External"/><Relationship Id="rId68" Type="http://schemas.openxmlformats.org/officeDocument/2006/relationships/hyperlink" Target="https://i8.amplience.net/i/aarons/Slot_3_LTD_Tile_New_HP_mobile_1404x884" TargetMode="External"/><Relationship Id="rId84" Type="http://schemas.openxmlformats.org/officeDocument/2006/relationships/hyperlink" Target="https://i8.amplience.net/i/aarons/04_23_Spring_Flash_Sale_LR_PP_tile_mobile" TargetMode="External"/><Relationship Id="rId89" Type="http://schemas.openxmlformats.org/officeDocument/2006/relationships/hyperlink" Target="https://i8.amplience.net/i/aarons/06_02_Summer_Kickoff_Promo_OPP_Slot_4_LTD_Tile_M_1404x655" TargetMode="External"/><Relationship Id="rId16" Type="http://schemas.openxmlformats.org/officeDocument/2006/relationships/hyperlink" Target="https://i8.amplience.net/i/aarons/05_21_Memorial_Day_25Perc_HP_Hero_M_1404x1208/" TargetMode="External"/><Relationship Id="rId11" Type="http://schemas.openxmlformats.org/officeDocument/2006/relationships/hyperlink" Target="https://i8.amplience.net/i/aarons/04_16_Hot_Deals_Plus_NP_Promo_HP_Hero_M_1404x1208_P19" TargetMode="External"/><Relationship Id="rId32" Type="http://schemas.openxmlformats.org/officeDocument/2006/relationships/hyperlink" Target="https://i8.amplience.net/i/aarons/05_01_Products_Under_70_Promo_Slot_1_Element_LTD_WDs_01_M_1344x1572" TargetMode="External"/><Relationship Id="rId37" Type="http://schemas.openxmlformats.org/officeDocument/2006/relationships/hyperlink" Target="https://i8.amplience.net/i/aarons/01_19_Replacement_Assets_Slot_2_LTD_Tile_M_1344x1572" TargetMode="External"/><Relationship Id="rId53" Type="http://schemas.openxmlformats.org/officeDocument/2006/relationships/hyperlink" Target="https://i8.amplience.net/i/aarons/05_20_Mower_Savings_Promo_LTD_01_M_1344x1572rev2" TargetMode="External"/><Relationship Id="rId58" Type="http://schemas.openxmlformats.org/officeDocument/2006/relationships/hyperlink" Target="https://i8.amplience.net/i/aarons/02_12_Presidents_Day_Matt_M_1404x884-20" TargetMode="External"/><Relationship Id="rId74" Type="http://schemas.openxmlformats.org/officeDocument/2006/relationships/hyperlink" Target="https://i8.amplience.net/i/aarons/01_26_Pre_Leased_Event_SALE_tile_mobile" TargetMode="External"/><Relationship Id="rId79" Type="http://schemas.openxmlformats.org/officeDocument/2006/relationships/hyperlink" Target="https://i8.amplience.net/i/aarons/03_12_Mid-Month_Ent_Event_Promo_Slot_4_LTD_Tile_M_1404x655" TargetMode="External"/><Relationship Id="rId5" Type="http://schemas.openxmlformats.org/officeDocument/2006/relationships/hyperlink" Target="https://i8.amplience.net/i/aarons/02_12_30_Presidents_Day_30Penn_HP_Hero_M_1404x1208" TargetMode="External"/><Relationship Id="rId90" Type="http://schemas.openxmlformats.org/officeDocument/2006/relationships/hyperlink" Target="https://i8.amplience.net/i/aarons/06_11_No_Payments_Penny_LTD_Slot_4_LTD_Tile_D_1044x1214" TargetMode="External"/><Relationship Id="rId95" Type="http://schemas.openxmlformats.org/officeDocument/2006/relationships/hyperlink" Target="https://i8.amplience.net/i/aarons/06_18_Flash_Sale_Slot_4_LTD_Tile_D_1044x1214" TargetMode="External"/><Relationship Id="rId22" Type="http://schemas.openxmlformats.org/officeDocument/2006/relationships/hyperlink" Target="https://i8.amplience.net/i/aarons/Fastlane5000Sweepstakes_LTD2_Tile_M_1344x1572" TargetMode="External"/><Relationship Id="rId27" Type="http://schemas.openxmlformats.org/officeDocument/2006/relationships/hyperlink" Target="https://i8.amplience.net/i/aarons/AAR2603_LuckysHeroes_LTDTiles3_M_1404x884_r1" TargetMode="External"/><Relationship Id="rId43" Type="http://schemas.openxmlformats.org/officeDocument/2006/relationships/hyperlink" Target="https://i8.amplience.net/i/aarons/Fastlane5000Sweepstakes_LTD2_Tile_M_1344x1572" TargetMode="External"/><Relationship Id="rId48" Type="http://schemas.openxmlformats.org/officeDocument/2006/relationships/hyperlink" Target="https://i8.amplience.net/i/aarons/05_01_Products_Under_70_Promo_Slot_2_Element_TV_LTD_M_1344x1572" TargetMode="External"/><Relationship Id="rId64" Type="http://schemas.openxmlformats.org/officeDocument/2006/relationships/hyperlink" Target="https://i8.amplience.net/i/aarons/04_08_Mower_Event_Penny_Deal_Drop_New_HP_M_1404x884" TargetMode="External"/><Relationship Id="rId69" Type="http://schemas.openxmlformats.org/officeDocument/2006/relationships/hyperlink" Target="https://i8.amplience.net/i/aarons/05_13_Early_Access_Memorial_Day_Promo_LTD_Tile_Slot_3_LTD_Tile_New_HP_mobile_1404x884_P19" TargetMode="External"/><Relationship Id="rId80" Type="http://schemas.openxmlformats.org/officeDocument/2006/relationships/hyperlink" Target="https://i8.amplience.net/i/aarons/03_24_Refrigerator_Dining_Event_LTD_SALE_tile_M" TargetMode="External"/><Relationship Id="rId85" Type="http://schemas.openxmlformats.org/officeDocument/2006/relationships/hyperlink" Target="https://i8.amplience.net/i/aarons/05_01_Products_Under_70_Promo_Slot_4_LTD_Tile_M_1404x655" TargetMode="External"/><Relationship Id="rId3" Type="http://schemas.openxmlformats.org/officeDocument/2006/relationships/hyperlink" Target="https://i8.amplience.net/i/aarons/01_26_Hot_Deals_Promo_HP_Hero_M_1404x1208_P19" TargetMode="External"/><Relationship Id="rId12" Type="http://schemas.openxmlformats.org/officeDocument/2006/relationships/hyperlink" Target="https://i8.amplience.net/i/aarons/04_23_Spring_Flash_Sale_HP_Hero_M_1404x1208" TargetMode="External"/><Relationship Id="rId17" Type="http://schemas.openxmlformats.org/officeDocument/2006/relationships/hyperlink" Target="https://i8.amplience.net/i/aarons/02_18_Pre-tax_Plus_Up_Promo_HP_Hero_M_1404x1208_P19" TargetMode="External"/><Relationship Id="rId25" Type="http://schemas.openxmlformats.org/officeDocument/2006/relationships/hyperlink" Target="https://i8.amplience.net/i/aarons/03_12_Mid-Month_Ent_Event_Promo_Slot_1_Penny_LTD_Tile_M_1344x1572" TargetMode="External"/><Relationship Id="rId33" Type="http://schemas.openxmlformats.org/officeDocument/2006/relationships/hyperlink" Target="https://i8.amplience.net/i/aarons/05_20_Mower_Savings_Promo_LTD_01_M_1344x1572rev2" TargetMode="External"/><Relationship Id="rId38" Type="http://schemas.openxmlformats.org/officeDocument/2006/relationships/hyperlink" Target="https://i8.amplience.net/i/aarons/Slot_2_LTD_Tile_M_1344x1572" TargetMode="External"/><Relationship Id="rId46" Type="http://schemas.openxmlformats.org/officeDocument/2006/relationships/hyperlink" Target="https://i8.amplience.net/i/aarons/04_16_Natl_Slot_3_LTD_Tile_New_HP_mobile_1404x884" TargetMode="External"/><Relationship Id="rId59" Type="http://schemas.openxmlformats.org/officeDocument/2006/relationships/hyperlink" Target="https://i8.amplience.net/i/aarons/02_18_Pre-tax_Plus_Up_Slot_3_LTD_Tile_New_HP_mobile_1404x884_20OFF" TargetMode="External"/><Relationship Id="rId67" Type="http://schemas.openxmlformats.org/officeDocument/2006/relationships/hyperlink" Target="https://i8.amplience.net/i/aarons/05_01_Products_Under_70_Promo_Slot_3_Envy_LTD_M_1404x884" TargetMode="External"/><Relationship Id="rId20" Type="http://schemas.openxmlformats.org/officeDocument/2006/relationships/hyperlink" Target="https://i8.amplience.net/i/aarons/01_15_Big_Screen_Comeback_Slot_1_Penny_LTD_Tile_D_1044x576" TargetMode="External"/><Relationship Id="rId41" Type="http://schemas.openxmlformats.org/officeDocument/2006/relationships/hyperlink" Target="https://i8.amplience.net/i/aarons/Fastlane5000Sweepstakes_LTD2_Tile_M_1344x1572" TargetMode="External"/><Relationship Id="rId54" Type="http://schemas.openxmlformats.org/officeDocument/2006/relationships/hyperlink" Target="https://i8.amplience.net/i/aarons/Slot_3_Select_TVs_P19_LTD_Tile_New_HP_mobile_1404x884" TargetMode="External"/><Relationship Id="rId62" Type="http://schemas.openxmlformats.org/officeDocument/2006/relationships/hyperlink" Target="https://i8.amplience.net/i/aarons/03_24_Refrigerator_Dining_Event_LTD_DD_New_HP_M_1404x884" TargetMode="External"/><Relationship Id="rId70" Type="http://schemas.openxmlformats.org/officeDocument/2006/relationships/hyperlink" Target="https://i8.amplience.net/i/aarons/05_21_Memorial_Day_E25Perc_FD_HP_Promo_Slot_3_LTD_Tile_New_HP_mobile_1404x884_P19" TargetMode="External"/><Relationship Id="rId75" Type="http://schemas.openxmlformats.org/officeDocument/2006/relationships/hyperlink" Target="https://i8.amplience.net/i/aarons/02_02_Laundry_Living_Room_Event_Promo_Slot_4_LTD_Tile_M_1404x655_Whirlpool_B" TargetMode="External"/><Relationship Id="rId83" Type="http://schemas.openxmlformats.org/officeDocument/2006/relationships/hyperlink" Target="https://i8.amplience.net/i/aarons/04_16_P19_Slot_4_LTD_P19_Tile_M_1404x655" TargetMode="External"/><Relationship Id="rId88" Type="http://schemas.openxmlformats.org/officeDocument/2006/relationships/hyperlink" Target="https://i8.amplience.net/i/aarons/05_21_Memorial_Day_E25Perc_FD_HP_Promo_Slot_4_LTD_Tile_M_1404x655_P19" TargetMode="External"/><Relationship Id="rId91" Type="http://schemas.openxmlformats.org/officeDocument/2006/relationships/hyperlink" Target="https://i8.amplience.net/i/aarons/06_18_Flash_Sale_Laptops_PP_D_1044x576" TargetMode="External"/><Relationship Id="rId96" Type="http://schemas.openxmlformats.org/officeDocument/2006/relationships/hyperlink" Target="https://i8.amplience.net/i/aarons/06_22_Summer_Hot_Picks_25_HP_Hero_M_1404x1208" TargetMode="External"/><Relationship Id="rId1" Type="http://schemas.openxmlformats.org/officeDocument/2006/relationships/hyperlink" Target="https://i8.amplience.net/i/aarons/01_05_Me_Time_Promo_HP_Hero_M_1404x1208_P19_and_S59" TargetMode="External"/><Relationship Id="rId6" Type="http://schemas.openxmlformats.org/officeDocument/2006/relationships/hyperlink" Target="https://i8.amplience.net/i/aarons/v2_02_18_Pre-tax_Plus_Up_Promo_HP_Hero_M_1404x1208_35OFF" TargetMode="External"/><Relationship Id="rId15" Type="http://schemas.openxmlformats.org/officeDocument/2006/relationships/hyperlink" Target="https://i8.amplience.net/i/aarons/05_13_Memorial_Day_Early_Access_Evt_HP_Hero_M_1404x1208" TargetMode="External"/><Relationship Id="rId23" Type="http://schemas.openxmlformats.org/officeDocument/2006/relationships/hyperlink" Target="https://i8.amplience.net/i/aarons/02_18_Pre-tax_Plus_Up_Slot_1_Penny_LTD_Tile_M_1344x1572" TargetMode="External"/><Relationship Id="rId28" Type="http://schemas.openxmlformats.org/officeDocument/2006/relationships/hyperlink" Target="https://i8.amplience.net/i/aarons/v2_04_08_Mower_Event_Penny_TVs_PP_M_1344x1572" TargetMode="External"/><Relationship Id="rId36" Type="http://schemas.openxmlformats.org/officeDocument/2006/relationships/hyperlink" Target="https://i8.amplience.net/i/aarons/01_19_Replacement_Assets_Slot_2_LTD_Tile_M_1344x1572" TargetMode="External"/><Relationship Id="rId49" Type="http://schemas.openxmlformats.org/officeDocument/2006/relationships/hyperlink" Target="https://i8.amplience.net/i/aarons/05_01_Products_Under_70_Promo_Slot_2_Element_TV_LTD_M_1344x1572" TargetMode="External"/><Relationship Id="rId57" Type="http://schemas.openxmlformats.org/officeDocument/2006/relationships/hyperlink" Target="https://i8.amplience.net/i/aarons/Slot_3_LTD_Tile_New_HP_mobile_1404x884_70OFF" TargetMode="External"/><Relationship Id="rId10" Type="http://schemas.openxmlformats.org/officeDocument/2006/relationships/hyperlink" Target="https://i8.amplience.net/i/aarons/04_08_Mower_Event_HD_HP_Hero_M_1404x1208-30" TargetMode="External"/><Relationship Id="rId31" Type="http://schemas.openxmlformats.org/officeDocument/2006/relationships/hyperlink" Target="https://i8.amplience.net/i/aarons/05_01_Products_Under_70_Promo_Slot_1_Element_LTD_WDs_01_M_1344x1572" TargetMode="External"/><Relationship Id="rId44" Type="http://schemas.openxmlformats.org/officeDocument/2006/relationships/hyperlink" Target="https://i8.amplience.net/i/aarons/04_01_Electronics_Event_Promo_Slot_2_LTD_Tile_M_1344x1572" TargetMode="External"/><Relationship Id="rId52" Type="http://schemas.openxmlformats.org/officeDocument/2006/relationships/hyperlink" Target="https://i8.amplience.net/i/aarons/05_20_Mower_Savings_Promo_LTD_01_M_1344x1572rev2" TargetMode="External"/><Relationship Id="rId60" Type="http://schemas.openxmlformats.org/officeDocument/2006/relationships/hyperlink" Target="https://i8.amplience.net/i/aarons/AAR2603_LuckysHeroes_LTDTiles3_M_1404x884_r1" TargetMode="External"/><Relationship Id="rId65" Type="http://schemas.openxmlformats.org/officeDocument/2006/relationships/hyperlink" Target="https://i8.amplience.net/i/aarons/04_16_Natl_Slot_3_LTD_Tile_New_HP_mobile_1404x884" TargetMode="External"/><Relationship Id="rId73" Type="http://schemas.openxmlformats.org/officeDocument/2006/relationships/hyperlink" Target="https://i8.amplience.net/i/aarons/01_15_Big_Screen_Comeback_Slot_4_LTD_Tile_M_1404x655" TargetMode="External"/><Relationship Id="rId78" Type="http://schemas.openxmlformats.org/officeDocument/2006/relationships/hyperlink" Target="https://i8.amplience.net/i/aarons/03_02_Lucky_Deals_SALE_tile_mobile" TargetMode="External"/><Relationship Id="rId81" Type="http://schemas.openxmlformats.org/officeDocument/2006/relationships/hyperlink" Target="https://i8.amplience.net/i/aarons/04_01_Electronics_Event_Promo_Slot_4_LTD_Tile_M_1404x655_P19" TargetMode="External"/><Relationship Id="rId86" Type="http://schemas.openxmlformats.org/officeDocument/2006/relationships/hyperlink" Target="https://i8.amplience.net/i/aarons/05_06_Mothers_Day_LR_Event_Slot_4_LTD_Tile_M_1404x655_P19" TargetMode="External"/><Relationship Id="rId94" Type="http://schemas.openxmlformats.org/officeDocument/2006/relationships/hyperlink" Target="https://i8.amplience.net/i/aarons/06_01_Drive_Into_Summer_Sweeps_Slot_3_LTD_Tile_New_HP_desktop_2150x574" TargetMode="External"/><Relationship Id="rId99" Type="http://schemas.openxmlformats.org/officeDocument/2006/relationships/hyperlink" Target="https://i8.amplience.net/i/aarons/06_22_Summer_Hot_Picks_Deal_Drop_New_HP_D_2150x574" TargetMode="External"/><Relationship Id="rId4" Type="http://schemas.openxmlformats.org/officeDocument/2006/relationships/hyperlink" Target="https://i8.amplience.net/i/aarons/02_02_Laundry_Living_Room_Event_Promo_HP_Hero_M_1404x1208_P19" TargetMode="External"/><Relationship Id="rId9" Type="http://schemas.openxmlformats.org/officeDocument/2006/relationships/hyperlink" Target="https://i8.amplience.net/i/aarons/04_01_Electronics_Event_HP_Hero_M_1404x1208_P19" TargetMode="External"/><Relationship Id="rId13" Type="http://schemas.openxmlformats.org/officeDocument/2006/relationships/hyperlink" Target="https://i8.amplience.net/i/aarons/05_01_Products_Under_70_Promo_HP_Hero_M_1404x1208" TargetMode="External"/><Relationship Id="rId18" Type="http://schemas.openxmlformats.org/officeDocument/2006/relationships/hyperlink" Target="https://i8.amplience.net/i/aarons/Slot_1_Penny_LTD_Tile_D_1044x576" TargetMode="External"/><Relationship Id="rId39" Type="http://schemas.openxmlformats.org/officeDocument/2006/relationships/hyperlink" Target="https://i8.amplience.net/i/aarons/02_12_Presidents_Day_Matt_Deal_Alerts_M_1344x1572" TargetMode="External"/><Relationship Id="rId34" Type="http://schemas.openxmlformats.org/officeDocument/2006/relationships/hyperlink" Target="https://i8.amplience.net/i/aarons/Update_06_02_Summer_Kickoff_Promo_LTD_Tiles_Slot_1_Penny_LTD_Tile_M_1344x1572_P19" TargetMode="External"/><Relationship Id="rId50" Type="http://schemas.openxmlformats.org/officeDocument/2006/relationships/hyperlink" Target="https://i8.amplience.net/i/aarons/05_13_Early_Access_Memorial_Day_Promo_LTD_Tile_Slot_2_LTD_Tile_M_1344x1572_P19" TargetMode="External"/><Relationship Id="rId55" Type="http://schemas.openxmlformats.org/officeDocument/2006/relationships/hyperlink" Target="https://i8.amplience.net/i/aarons/01_19_Replacement_Assets_Slot_3_LTD_Tile_New_HP_mobile_1404x884_P19" TargetMode="External"/><Relationship Id="rId76" Type="http://schemas.openxmlformats.org/officeDocument/2006/relationships/hyperlink" Target="https://i8.amplience.net/i/aarons/02_12_Presidents_Day_BR_25_tile_mobile" TargetMode="External"/><Relationship Id="rId97" Type="http://schemas.openxmlformats.org/officeDocument/2006/relationships/hyperlink" Target="https://i8.amplience.net/i/aarons/06_01_Drive_Into_Summer_Sweeps_06_01_Drive_Into_Summer_Sweeps_Slot_1_Penny_LTD_Tile_D_1044x576" TargetMode="External"/><Relationship Id="rId7" Type="http://schemas.openxmlformats.org/officeDocument/2006/relationships/hyperlink" Target="https://i8.amplience.net/i/aarons/03_02_Lucky_Deals_HP_Hero_M_1404x1208" TargetMode="External"/><Relationship Id="rId71" Type="http://schemas.openxmlformats.org/officeDocument/2006/relationships/hyperlink" Target="https://i8.amplience.net/i/aarons/06_02_Laundry_Event_Promo_NEW_HP_FD_Tile_M_1404x819_P19" TargetMode="External"/><Relationship Id="rId92" Type="http://schemas.openxmlformats.org/officeDocument/2006/relationships/hyperlink" Target="https://i8.amplience.net/i/aarons/06_18_Flash_Sale_1200_HP_Hero_M_1404x1208" TargetMode="External"/><Relationship Id="rId2" Type="http://schemas.openxmlformats.org/officeDocument/2006/relationships/hyperlink" Target="https://i8.amplience.net/i/aarons/01_15_Big_Screen_Comeback_Promo_HP_Hero_M_1404x1208" TargetMode="External"/><Relationship Id="rId29" Type="http://schemas.openxmlformats.org/officeDocument/2006/relationships/hyperlink" Target="https://i8.amplience.net/i/aarons/04_16_Natl_Slot_1_Penny_LTD_Tile_M_1344x1572" TargetMode="External"/><Relationship Id="rId24" Type="http://schemas.openxmlformats.org/officeDocument/2006/relationships/hyperlink" Target="https://i8.amplience.net/i/aarons/03_02_Lucky_Deals_PP_Matts_Deal_Alerts_M_1344x1572" TargetMode="External"/><Relationship Id="rId40" Type="http://schemas.openxmlformats.org/officeDocument/2006/relationships/hyperlink" Target="https://i8.amplience.net/i/aarons/Fastlane5000Sweepstakes_LTD2_Tile_M_1344x1572" TargetMode="External"/><Relationship Id="rId45" Type="http://schemas.openxmlformats.org/officeDocument/2006/relationships/hyperlink" Target="https://i8.amplience.net/i/aarons/v2_04_08_Mower_Event_WDs_PP_M_1344x1572" TargetMode="External"/><Relationship Id="rId66" Type="http://schemas.openxmlformats.org/officeDocument/2006/relationships/hyperlink" Target="https://i8.amplience.net/i/aarons/04_23_Spring_Flash_Sale_Clear_New_HP_M_1404x884" TargetMode="External"/><Relationship Id="rId87" Type="http://schemas.openxmlformats.org/officeDocument/2006/relationships/hyperlink" Target="https://i8.amplience.net/i/aarons/05_13_Early_Access_Memorial_Day_Promo_LTD_Tile_Slot_4_LTD_Tile_M_1404x655_P19" TargetMode="External"/><Relationship Id="rId61" Type="http://schemas.openxmlformats.org/officeDocument/2006/relationships/hyperlink" Target="https://i8.amplience.net/i/aarons/AAR2603_LuckysHeroes_LTDTiles3_M_1404x884_r1" TargetMode="External"/><Relationship Id="rId82" Type="http://schemas.openxmlformats.org/officeDocument/2006/relationships/hyperlink" Target="https://i8.amplience.net/i/aarons/v3_04_08_Mower_Evt_PL_SALE_tile_m" TargetMode="External"/><Relationship Id="rId19" Type="http://schemas.openxmlformats.org/officeDocument/2006/relationships/hyperlink" Target="https://i8.amplience.net/i/aarons/01_15_Big_Screen_Comeback_Slot_1_Penny_LTD_Tile_D_1044x576" TargetMode="External"/><Relationship Id="rId14" Type="http://schemas.openxmlformats.org/officeDocument/2006/relationships/hyperlink" Target="https://i8.amplience.net/i/aarons/05_01_Products_Under_70_Promo_HP_Hero_M_1404x1208" TargetMode="External"/><Relationship Id="rId30" Type="http://schemas.openxmlformats.org/officeDocument/2006/relationships/hyperlink" Target="https://i8.amplience.net/i/aarons/Update_04_23_Spring_Flash_Sale_WDs_PP_M_1344x1572" TargetMode="External"/><Relationship Id="rId35" Type="http://schemas.openxmlformats.org/officeDocument/2006/relationships/hyperlink" Target="https://i8.amplience.net/i/aarons/Slot_2_SMS_LTD_Tile_D_1044x576" TargetMode="External"/><Relationship Id="rId56" Type="http://schemas.openxmlformats.org/officeDocument/2006/relationships/hyperlink" Target="https://i8.amplience.net/i/aarons/01_19_Replacement_Assets_Slot_3_LTD_Tile_New_HP_mobile_1404x884_P19" TargetMode="External"/><Relationship Id="rId77" Type="http://schemas.openxmlformats.org/officeDocument/2006/relationships/hyperlink" Target="https://i8.amplience.net/i/aarons/02_18_Pre-tax_Plus_Up_Slot_4_LTD_Tile_M_1404x655_Refurbished_Finds" TargetMode="External"/><Relationship Id="rId100" Type="http://schemas.openxmlformats.org/officeDocument/2006/relationships/hyperlink" Target="https://i8.amplience.net/i/aarons/06_22_Summer_Hot_Picks_50Perc_SALE_tile_desktop" TargetMode="External"/><Relationship Id="rId8" Type="http://schemas.openxmlformats.org/officeDocument/2006/relationships/hyperlink" Target="https://i8.amplience.net/i/aarons/New_03_24_Refrigerator_Dining_Eventt_HP_Hero_M_1404x1208" TargetMode="External"/><Relationship Id="rId51" Type="http://schemas.openxmlformats.org/officeDocument/2006/relationships/hyperlink" Target="https://i8.amplience.net/i/aarons/05_21_Memorial_Day_E25Perc_FD_HP_Promo_Slot_2_LTD_Tile_M_1344x1572_P19" TargetMode="External"/><Relationship Id="rId72" Type="http://schemas.openxmlformats.org/officeDocument/2006/relationships/hyperlink" Target="https://i8.amplience.net/i/aarons/P19_Slot_4_HP_Laptops_LTD_Tile_D_1044x1214" TargetMode="External"/><Relationship Id="rId93" Type="http://schemas.openxmlformats.org/officeDocument/2006/relationships/hyperlink" Target="https://i8.amplience.net/i/aarons/06_18_Flash_Sale_TVs_PP_D_1044x576" TargetMode="External"/><Relationship Id="rId98" Type="http://schemas.openxmlformats.org/officeDocument/2006/relationships/hyperlink" Target="https://i8.amplience.net/i/aarons/05_20_Mower_Savings_Promo_LTD_01_M_1344x1572rev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8"/>
  <sheetViews>
    <sheetView showGridLines="0" zoomScaleNormal="100" workbookViewId="0">
      <selection activeCell="C5" sqref="C5"/>
    </sheetView>
  </sheetViews>
  <sheetFormatPr defaultColWidth="8.6640625" defaultRowHeight="14.4" x14ac:dyDescent="0.3"/>
  <cols>
    <col min="1" max="1" width="3" customWidth="1"/>
    <col min="2" max="2" width="22" customWidth="1"/>
    <col min="3" max="3" width="72" customWidth="1"/>
  </cols>
  <sheetData>
    <row r="1" spans="2:3" ht="30" customHeight="1" x14ac:dyDescent="0.3">
      <c r="B1" s="28" t="s">
        <v>0</v>
      </c>
      <c r="C1" s="28"/>
    </row>
    <row r="2" spans="2:3" ht="18" customHeight="1" x14ac:dyDescent="0.3">
      <c r="B2" s="29" t="s">
        <v>1</v>
      </c>
      <c r="C2" s="29"/>
    </row>
    <row r="4" spans="2:3" ht="18" customHeight="1" x14ac:dyDescent="0.3">
      <c r="B4" s="1" t="s">
        <v>2</v>
      </c>
      <c r="C4" s="2" t="s">
        <v>3</v>
      </c>
    </row>
    <row r="5" spans="2:3" ht="55.5" customHeight="1" x14ac:dyDescent="0.3">
      <c r="B5" s="3" t="s">
        <v>4</v>
      </c>
      <c r="C5" s="4" t="s">
        <v>5</v>
      </c>
    </row>
    <row r="6" spans="2:3" ht="55.5" customHeight="1" x14ac:dyDescent="0.3">
      <c r="B6" s="3" t="s">
        <v>6</v>
      </c>
      <c r="C6" s="4" t="s">
        <v>7</v>
      </c>
    </row>
    <row r="7" spans="2:3" ht="55.5" customHeight="1" x14ac:dyDescent="0.3">
      <c r="B7" s="3" t="s">
        <v>8</v>
      </c>
      <c r="C7" s="4" t="s">
        <v>9</v>
      </c>
    </row>
    <row r="8" spans="2:3" ht="55.5" customHeight="1" x14ac:dyDescent="0.3">
      <c r="B8" s="3" t="s">
        <v>10</v>
      </c>
      <c r="C8" s="4" t="s">
        <v>11</v>
      </c>
    </row>
  </sheetData>
  <mergeCells count="2">
    <mergeCell ref="B1:C1"/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313"/>
  <sheetViews>
    <sheetView showGridLines="0" tabSelected="1" zoomScaleNormal="100" workbookViewId="0">
      <pane ySplit="2" topLeftCell="A809" activePane="bottomLeft" state="frozen"/>
      <selection pane="bottomLeft" activeCell="H755" sqref="H755:J812"/>
    </sheetView>
  </sheetViews>
  <sheetFormatPr defaultColWidth="8.6640625" defaultRowHeight="14.4" x14ac:dyDescent="0.3"/>
  <cols>
    <col min="1" max="1" width="36.33203125" customWidth="1"/>
    <col min="2" max="2" width="12" customWidth="1"/>
    <col min="3" max="4" width="18" customWidth="1"/>
    <col min="5" max="6" width="12" customWidth="1"/>
    <col min="7" max="7" width="10" customWidth="1"/>
    <col min="8" max="8" width="13" customWidth="1"/>
    <col min="9" max="10" width="12" customWidth="1"/>
    <col min="11" max="16" width="13" customWidth="1"/>
    <col min="17" max="18" width="14" customWidth="1"/>
  </cols>
  <sheetData>
    <row r="1" spans="1:18" ht="18" customHeight="1" x14ac:dyDescent="0.3">
      <c r="A1" s="26" t="s">
        <v>12</v>
      </c>
      <c r="B1" s="26"/>
      <c r="C1" s="26"/>
      <c r="D1" s="26"/>
      <c r="E1" s="26"/>
      <c r="F1" s="26"/>
      <c r="G1" s="26"/>
      <c r="H1" s="26"/>
      <c r="I1" s="26"/>
      <c r="J1" s="26"/>
      <c r="K1" s="27" t="s">
        <v>13</v>
      </c>
      <c r="L1" s="27"/>
      <c r="M1" s="27"/>
      <c r="N1" s="27"/>
      <c r="O1" s="27"/>
      <c r="P1" s="27"/>
      <c r="Q1" s="27"/>
      <c r="R1" s="27"/>
    </row>
    <row r="2" spans="1:18" ht="36" customHeight="1" x14ac:dyDescent="0.3">
      <c r="A2" s="5" t="s">
        <v>14</v>
      </c>
      <c r="B2" s="5" t="s">
        <v>15</v>
      </c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  <c r="H2" s="5" t="s">
        <v>21</v>
      </c>
      <c r="I2" s="5" t="s">
        <v>22</v>
      </c>
      <c r="J2" s="5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  <c r="Q2" s="6" t="s">
        <v>30</v>
      </c>
      <c r="R2" s="6" t="s">
        <v>31</v>
      </c>
    </row>
    <row r="3" spans="1:18" ht="15.75" customHeight="1" x14ac:dyDescent="0.3">
      <c r="A3" s="7" t="s">
        <v>32</v>
      </c>
      <c r="B3" s="7" t="s">
        <v>46</v>
      </c>
      <c r="C3" s="24" t="s">
        <v>47</v>
      </c>
      <c r="D3" s="24" t="s">
        <v>48</v>
      </c>
      <c r="E3" s="8">
        <v>46023</v>
      </c>
      <c r="F3" s="8">
        <v>46036</v>
      </c>
      <c r="G3" s="9">
        <f>F3-E3+1</f>
        <v>14</v>
      </c>
      <c r="H3" s="10">
        <v>2257</v>
      </c>
      <c r="I3" s="10">
        <v>788</v>
      </c>
      <c r="J3" s="10">
        <v>528</v>
      </c>
      <c r="K3" s="11">
        <f t="shared" ref="K3:K66" si="0">IFERROR(H3/G3,"")</f>
        <v>161.21428571428572</v>
      </c>
      <c r="L3" s="11">
        <f t="shared" ref="L3:L66" si="1">IFERROR(I3/G3,"")</f>
        <v>56.285714285714285</v>
      </c>
      <c r="M3" s="12">
        <f t="shared" ref="M3:M66" si="2">IFERROR(I3/H3,"")</f>
        <v>0.34913602126716881</v>
      </c>
      <c r="N3" s="11">
        <f t="shared" ref="N3:N66" si="3">IFERROR(J3/G3,"")</f>
        <v>37.714285714285715</v>
      </c>
      <c r="O3" s="12">
        <f t="shared" ref="O3:O66" si="4">IFERROR(J3/I3,"")</f>
        <v>0.67005076142131981</v>
      </c>
      <c r="P3" s="12">
        <f t="shared" ref="P3:P66" si="5">IFERROR(J3/H3,"")</f>
        <v>0.23393885688967656</v>
      </c>
      <c r="Q3" s="13">
        <f>IFERROR((I3/H3)*K3,"")</f>
        <v>56.285714285714285</v>
      </c>
      <c r="R3" s="13">
        <f>IFERROR((J3/H3)*K3,"")</f>
        <v>37.714285714285715</v>
      </c>
    </row>
    <row r="4" spans="1:18" ht="15.75" customHeight="1" x14ac:dyDescent="0.3">
      <c r="A4" s="7" t="s">
        <v>32</v>
      </c>
      <c r="B4" s="7" t="s">
        <v>49</v>
      </c>
      <c r="C4" s="24" t="s">
        <v>47</v>
      </c>
      <c r="D4" s="24" t="s">
        <v>48</v>
      </c>
      <c r="E4" s="8">
        <v>46023</v>
      </c>
      <c r="F4" s="8">
        <v>46036</v>
      </c>
      <c r="G4" s="9">
        <f t="shared" ref="G4:G67" si="6">F4-E4+1</f>
        <v>14</v>
      </c>
      <c r="H4" s="10">
        <v>66</v>
      </c>
      <c r="I4" s="10">
        <v>18</v>
      </c>
      <c r="J4" s="10">
        <v>12</v>
      </c>
      <c r="K4" s="11">
        <f t="shared" si="0"/>
        <v>4.7142857142857144</v>
      </c>
      <c r="L4" s="11">
        <f t="shared" si="1"/>
        <v>1.2857142857142858</v>
      </c>
      <c r="M4" s="12">
        <f t="shared" si="2"/>
        <v>0.27272727272727271</v>
      </c>
      <c r="N4" s="11">
        <f t="shared" si="3"/>
        <v>0.8571428571428571</v>
      </c>
      <c r="O4" s="12">
        <f t="shared" si="4"/>
        <v>0.66666666666666663</v>
      </c>
      <c r="P4" s="12">
        <f t="shared" si="5"/>
        <v>0.18181818181818182</v>
      </c>
    </row>
    <row r="5" spans="1:18" ht="15.75" customHeight="1" x14ac:dyDescent="0.3">
      <c r="A5" s="7" t="s">
        <v>32</v>
      </c>
      <c r="B5" s="7" t="s">
        <v>50</v>
      </c>
      <c r="C5" s="24" t="s">
        <v>47</v>
      </c>
      <c r="D5" s="24" t="s">
        <v>48</v>
      </c>
      <c r="E5" s="8">
        <v>46023</v>
      </c>
      <c r="F5" s="8">
        <v>46036</v>
      </c>
      <c r="G5" s="9">
        <f t="shared" si="6"/>
        <v>14</v>
      </c>
      <c r="H5" s="10">
        <v>585</v>
      </c>
      <c r="I5" s="10">
        <v>134</v>
      </c>
      <c r="J5" s="10">
        <v>110</v>
      </c>
      <c r="K5" s="11">
        <f t="shared" si="0"/>
        <v>41.785714285714285</v>
      </c>
      <c r="L5" s="11">
        <f t="shared" si="1"/>
        <v>9.5714285714285712</v>
      </c>
      <c r="M5" s="12">
        <f t="shared" si="2"/>
        <v>0.22905982905982905</v>
      </c>
      <c r="N5" s="11">
        <f t="shared" si="3"/>
        <v>7.8571428571428568</v>
      </c>
      <c r="O5" s="12">
        <f t="shared" si="4"/>
        <v>0.82089552238805974</v>
      </c>
      <c r="P5" s="12">
        <f t="shared" si="5"/>
        <v>0.18803418803418803</v>
      </c>
      <c r="Q5" s="13">
        <f t="shared" ref="Q5:Q30" si="7">IFERROR((I5/H5)*K5,"")</f>
        <v>9.5714285714285712</v>
      </c>
      <c r="R5" s="13">
        <f t="shared" ref="R5:R30" si="8">IFERROR((J5/H5)*K5,"")</f>
        <v>7.8571428571428568</v>
      </c>
    </row>
    <row r="6" spans="1:18" ht="15.75" customHeight="1" x14ac:dyDescent="0.3">
      <c r="A6" s="7" t="s">
        <v>32</v>
      </c>
      <c r="B6" s="7" t="s">
        <v>51</v>
      </c>
      <c r="C6" s="24" t="s">
        <v>47</v>
      </c>
      <c r="D6" s="24" t="s">
        <v>48</v>
      </c>
      <c r="E6" s="8">
        <v>46023</v>
      </c>
      <c r="F6" s="8">
        <v>46036</v>
      </c>
      <c r="G6" s="9">
        <f t="shared" si="6"/>
        <v>14</v>
      </c>
      <c r="H6" s="10">
        <v>25</v>
      </c>
      <c r="I6" s="10">
        <v>2</v>
      </c>
      <c r="J6" s="10">
        <v>2</v>
      </c>
      <c r="K6" s="11">
        <f t="shared" si="0"/>
        <v>1.7857142857142858</v>
      </c>
      <c r="L6" s="11">
        <f t="shared" si="1"/>
        <v>0.14285714285714285</v>
      </c>
      <c r="M6" s="12">
        <f t="shared" si="2"/>
        <v>0.08</v>
      </c>
      <c r="N6" s="11">
        <f t="shared" si="3"/>
        <v>0.14285714285714285</v>
      </c>
      <c r="O6" s="12">
        <f t="shared" si="4"/>
        <v>1</v>
      </c>
      <c r="P6" s="12">
        <f t="shared" si="5"/>
        <v>0.08</v>
      </c>
      <c r="Q6" s="13">
        <f t="shared" si="7"/>
        <v>0.14285714285714288</v>
      </c>
      <c r="R6" s="13">
        <f t="shared" si="8"/>
        <v>0.14285714285714288</v>
      </c>
    </row>
    <row r="7" spans="1:18" ht="15.75" customHeight="1" x14ac:dyDescent="0.3">
      <c r="A7" s="7" t="s">
        <v>32</v>
      </c>
      <c r="B7" s="7" t="s">
        <v>52</v>
      </c>
      <c r="C7" s="24" t="s">
        <v>47</v>
      </c>
      <c r="D7" s="24" t="s">
        <v>53</v>
      </c>
      <c r="E7" s="8">
        <v>46023</v>
      </c>
      <c r="F7" s="8">
        <v>46036</v>
      </c>
      <c r="G7" s="9">
        <f t="shared" si="6"/>
        <v>14</v>
      </c>
      <c r="H7" s="10">
        <v>591</v>
      </c>
      <c r="I7" s="10">
        <v>191</v>
      </c>
      <c r="J7" s="10">
        <v>133</v>
      </c>
      <c r="K7" s="11">
        <f t="shared" si="0"/>
        <v>42.214285714285715</v>
      </c>
      <c r="L7" s="11">
        <f t="shared" si="1"/>
        <v>13.642857142857142</v>
      </c>
      <c r="M7" s="12">
        <f t="shared" si="2"/>
        <v>0.32318104906937395</v>
      </c>
      <c r="N7" s="11">
        <f t="shared" si="3"/>
        <v>9.5</v>
      </c>
      <c r="O7" s="12">
        <f t="shared" si="4"/>
        <v>0.69633507853403143</v>
      </c>
      <c r="P7" s="12">
        <f t="shared" si="5"/>
        <v>0.22504230118443316</v>
      </c>
      <c r="Q7" s="13">
        <f t="shared" si="7"/>
        <v>13.642857142857144</v>
      </c>
      <c r="R7" s="13">
        <f t="shared" si="8"/>
        <v>9.5</v>
      </c>
    </row>
    <row r="8" spans="1:18" ht="15.75" customHeight="1" x14ac:dyDescent="0.3">
      <c r="A8" s="7" t="s">
        <v>32</v>
      </c>
      <c r="B8" s="7" t="s">
        <v>54</v>
      </c>
      <c r="C8" s="24" t="s">
        <v>47</v>
      </c>
      <c r="D8" s="24" t="s">
        <v>53</v>
      </c>
      <c r="E8" s="8">
        <v>46023</v>
      </c>
      <c r="F8" s="8">
        <v>46036</v>
      </c>
      <c r="G8" s="9">
        <f t="shared" si="6"/>
        <v>14</v>
      </c>
      <c r="H8" s="10">
        <v>736</v>
      </c>
      <c r="I8" s="10">
        <v>293</v>
      </c>
      <c r="J8" s="10">
        <v>209</v>
      </c>
      <c r="K8" s="11">
        <f t="shared" si="0"/>
        <v>52.571428571428569</v>
      </c>
      <c r="L8" s="11">
        <f t="shared" si="1"/>
        <v>20.928571428571427</v>
      </c>
      <c r="M8" s="12">
        <f t="shared" si="2"/>
        <v>0.39809782608695654</v>
      </c>
      <c r="N8" s="11">
        <f t="shared" si="3"/>
        <v>14.928571428571429</v>
      </c>
      <c r="O8" s="12">
        <f t="shared" si="4"/>
        <v>0.71331058020477811</v>
      </c>
      <c r="P8" s="12">
        <f t="shared" si="5"/>
        <v>0.28396739130434784</v>
      </c>
      <c r="Q8" s="13">
        <f t="shared" si="7"/>
        <v>20.928571428571427</v>
      </c>
      <c r="R8" s="13">
        <f t="shared" si="8"/>
        <v>14.928571428571429</v>
      </c>
    </row>
    <row r="9" spans="1:18" ht="15.75" customHeight="1" x14ac:dyDescent="0.3">
      <c r="A9" s="7" t="s">
        <v>32</v>
      </c>
      <c r="B9" s="7" t="s">
        <v>55</v>
      </c>
      <c r="C9" s="24" t="s">
        <v>47</v>
      </c>
      <c r="D9" s="24" t="s">
        <v>56</v>
      </c>
      <c r="E9" s="8">
        <v>46023</v>
      </c>
      <c r="F9" s="8">
        <v>46036</v>
      </c>
      <c r="G9" s="9">
        <f t="shared" si="6"/>
        <v>14</v>
      </c>
      <c r="H9" s="10">
        <v>542</v>
      </c>
      <c r="I9" s="10">
        <v>221</v>
      </c>
      <c r="J9" s="10">
        <v>164</v>
      </c>
      <c r="K9" s="11">
        <f t="shared" si="0"/>
        <v>38.714285714285715</v>
      </c>
      <c r="L9" s="11">
        <f t="shared" si="1"/>
        <v>15.785714285714286</v>
      </c>
      <c r="M9" s="12">
        <f t="shared" si="2"/>
        <v>0.40774907749077488</v>
      </c>
      <c r="N9" s="11">
        <f t="shared" si="3"/>
        <v>11.714285714285714</v>
      </c>
      <c r="O9" s="12">
        <f t="shared" si="4"/>
        <v>0.74208144796380093</v>
      </c>
      <c r="P9" s="12">
        <f t="shared" si="5"/>
        <v>0.30258302583025831</v>
      </c>
      <c r="Q9" s="13">
        <f t="shared" si="7"/>
        <v>15.785714285714285</v>
      </c>
      <c r="R9" s="13">
        <f t="shared" si="8"/>
        <v>11.714285714285715</v>
      </c>
    </row>
    <row r="10" spans="1:18" ht="15.75" customHeight="1" x14ac:dyDescent="0.3">
      <c r="A10" s="7" t="s">
        <v>32</v>
      </c>
      <c r="B10" s="7" t="s">
        <v>57</v>
      </c>
      <c r="C10" s="24" t="s">
        <v>58</v>
      </c>
      <c r="D10" s="24" t="s">
        <v>59</v>
      </c>
      <c r="E10" s="8">
        <v>46023</v>
      </c>
      <c r="F10" s="8">
        <v>46036</v>
      </c>
      <c r="G10" s="9">
        <f t="shared" si="6"/>
        <v>14</v>
      </c>
      <c r="H10" s="10">
        <v>35</v>
      </c>
      <c r="I10" s="10">
        <v>11</v>
      </c>
      <c r="J10" s="10">
        <v>7</v>
      </c>
      <c r="K10" s="11">
        <f t="shared" si="0"/>
        <v>2.5</v>
      </c>
      <c r="L10" s="11">
        <f t="shared" si="1"/>
        <v>0.7857142857142857</v>
      </c>
      <c r="M10" s="12">
        <f t="shared" si="2"/>
        <v>0.31428571428571428</v>
      </c>
      <c r="N10" s="11">
        <f t="shared" si="3"/>
        <v>0.5</v>
      </c>
      <c r="O10" s="12">
        <f t="shared" si="4"/>
        <v>0.63636363636363635</v>
      </c>
      <c r="P10" s="12">
        <f t="shared" si="5"/>
        <v>0.2</v>
      </c>
      <c r="Q10" s="13">
        <f t="shared" si="7"/>
        <v>0.7857142857142857</v>
      </c>
      <c r="R10" s="13">
        <f t="shared" si="8"/>
        <v>0.5</v>
      </c>
    </row>
    <row r="11" spans="1:18" ht="15.75" customHeight="1" x14ac:dyDescent="0.3">
      <c r="A11" s="7" t="s">
        <v>32</v>
      </c>
      <c r="B11" s="7" t="s">
        <v>60</v>
      </c>
      <c r="C11" s="24" t="s">
        <v>58</v>
      </c>
      <c r="D11" s="24" t="s">
        <v>61</v>
      </c>
      <c r="E11" s="8">
        <v>46023</v>
      </c>
      <c r="F11" s="8">
        <v>46036</v>
      </c>
      <c r="G11" s="9">
        <f t="shared" si="6"/>
        <v>14</v>
      </c>
      <c r="H11" s="10">
        <v>1467</v>
      </c>
      <c r="I11" s="10">
        <v>499</v>
      </c>
      <c r="J11" s="10">
        <v>351</v>
      </c>
      <c r="K11" s="11">
        <f t="shared" si="0"/>
        <v>104.78571428571429</v>
      </c>
      <c r="L11" s="11">
        <f t="shared" si="1"/>
        <v>35.642857142857146</v>
      </c>
      <c r="M11" s="12">
        <f t="shared" si="2"/>
        <v>0.3401499659168371</v>
      </c>
      <c r="N11" s="11">
        <f t="shared" si="3"/>
        <v>25.071428571428573</v>
      </c>
      <c r="O11" s="12">
        <f t="shared" si="4"/>
        <v>0.70340681362725455</v>
      </c>
      <c r="P11" s="12">
        <f t="shared" si="5"/>
        <v>0.2392638036809816</v>
      </c>
      <c r="Q11" s="13">
        <f t="shared" si="7"/>
        <v>35.642857142857146</v>
      </c>
      <c r="R11" s="13">
        <f t="shared" si="8"/>
        <v>25.071428571428573</v>
      </c>
    </row>
    <row r="12" spans="1:18" ht="15.75" customHeight="1" x14ac:dyDescent="0.3">
      <c r="A12" s="7" t="s">
        <v>32</v>
      </c>
      <c r="B12" s="7" t="s">
        <v>235</v>
      </c>
      <c r="C12" s="24" t="s">
        <v>58</v>
      </c>
      <c r="D12" s="24" t="s">
        <v>107</v>
      </c>
      <c r="E12" s="8">
        <v>46023</v>
      </c>
      <c r="F12" s="8">
        <v>46036</v>
      </c>
      <c r="G12" s="9">
        <f t="shared" si="6"/>
        <v>14</v>
      </c>
      <c r="H12" s="10">
        <v>373</v>
      </c>
      <c r="I12" s="10">
        <v>154</v>
      </c>
      <c r="J12" s="10">
        <v>121</v>
      </c>
      <c r="K12" s="11">
        <f t="shared" si="0"/>
        <v>26.642857142857142</v>
      </c>
      <c r="L12" s="11">
        <f t="shared" si="1"/>
        <v>11</v>
      </c>
      <c r="M12" s="12">
        <f t="shared" si="2"/>
        <v>0.4128686327077748</v>
      </c>
      <c r="N12" s="11">
        <f t="shared" si="3"/>
        <v>8.6428571428571423</v>
      </c>
      <c r="O12" s="12">
        <f t="shared" si="4"/>
        <v>0.7857142857142857</v>
      </c>
      <c r="P12" s="12">
        <f t="shared" si="5"/>
        <v>0.32439678284182305</v>
      </c>
      <c r="Q12" s="13">
        <f t="shared" si="7"/>
        <v>11</v>
      </c>
      <c r="R12" s="13">
        <f t="shared" si="8"/>
        <v>8.6428571428571423</v>
      </c>
    </row>
    <row r="13" spans="1:18" ht="15.75" customHeight="1" x14ac:dyDescent="0.3">
      <c r="A13" s="7" t="s">
        <v>32</v>
      </c>
      <c r="B13" s="7" t="s">
        <v>300</v>
      </c>
      <c r="C13" s="24" t="s">
        <v>58</v>
      </c>
      <c r="D13" s="24" t="s">
        <v>103</v>
      </c>
      <c r="E13" s="8">
        <v>46023</v>
      </c>
      <c r="F13" s="8">
        <v>46036</v>
      </c>
      <c r="G13" s="9">
        <f t="shared" si="6"/>
        <v>14</v>
      </c>
      <c r="H13" s="10">
        <v>1086</v>
      </c>
      <c r="I13" s="10">
        <v>220</v>
      </c>
      <c r="J13" s="10">
        <v>150</v>
      </c>
      <c r="K13" s="11">
        <f t="shared" si="0"/>
        <v>77.571428571428569</v>
      </c>
      <c r="L13" s="11">
        <f t="shared" si="1"/>
        <v>15.714285714285714</v>
      </c>
      <c r="M13" s="12">
        <f t="shared" si="2"/>
        <v>0.20257826887661143</v>
      </c>
      <c r="N13" s="11">
        <f t="shared" si="3"/>
        <v>10.714285714285714</v>
      </c>
      <c r="O13" s="12">
        <f t="shared" si="4"/>
        <v>0.68181818181818177</v>
      </c>
      <c r="P13" s="12">
        <f t="shared" si="5"/>
        <v>0.13812154696132597</v>
      </c>
      <c r="Q13" s="13">
        <f t="shared" si="7"/>
        <v>15.714285714285715</v>
      </c>
      <c r="R13" s="13">
        <f t="shared" si="8"/>
        <v>10.714285714285715</v>
      </c>
    </row>
    <row r="14" spans="1:18" ht="15.75" customHeight="1" x14ac:dyDescent="0.3">
      <c r="A14" s="7" t="s">
        <v>32</v>
      </c>
      <c r="B14" s="7" t="s">
        <v>62</v>
      </c>
      <c r="C14" s="24" t="s">
        <v>58</v>
      </c>
      <c r="D14" s="24" t="s">
        <v>441</v>
      </c>
      <c r="E14" s="8">
        <v>46023</v>
      </c>
      <c r="F14" s="8">
        <v>46036</v>
      </c>
      <c r="G14" s="9">
        <f t="shared" si="6"/>
        <v>14</v>
      </c>
      <c r="H14" s="10">
        <v>62</v>
      </c>
      <c r="I14" s="10">
        <v>23</v>
      </c>
      <c r="J14" s="10">
        <v>16</v>
      </c>
      <c r="K14" s="11">
        <f t="shared" si="0"/>
        <v>4.4285714285714288</v>
      </c>
      <c r="L14" s="11">
        <f t="shared" si="1"/>
        <v>1.6428571428571428</v>
      </c>
      <c r="M14" s="12">
        <f t="shared" si="2"/>
        <v>0.37096774193548387</v>
      </c>
      <c r="N14" s="11">
        <f t="shared" si="3"/>
        <v>1.1428571428571428</v>
      </c>
      <c r="O14" s="12">
        <f t="shared" si="4"/>
        <v>0.69565217391304346</v>
      </c>
      <c r="P14" s="12">
        <f t="shared" si="5"/>
        <v>0.25806451612903225</v>
      </c>
      <c r="Q14" s="13">
        <f t="shared" si="7"/>
        <v>1.642857142857143</v>
      </c>
      <c r="R14" s="13">
        <f t="shared" si="8"/>
        <v>1.1428571428571428</v>
      </c>
    </row>
    <row r="15" spans="1:18" ht="15.75" customHeight="1" x14ac:dyDescent="0.3">
      <c r="A15" s="7" t="s">
        <v>32</v>
      </c>
      <c r="B15" s="7" t="s">
        <v>63</v>
      </c>
      <c r="C15" s="24" t="s">
        <v>58</v>
      </c>
      <c r="D15" s="24" t="s">
        <v>64</v>
      </c>
      <c r="E15" s="8">
        <v>46023</v>
      </c>
      <c r="F15" s="8">
        <v>46036</v>
      </c>
      <c r="G15" s="9">
        <f t="shared" si="6"/>
        <v>14</v>
      </c>
      <c r="H15" s="10">
        <v>75</v>
      </c>
      <c r="I15" s="10">
        <v>34</v>
      </c>
      <c r="J15" s="10">
        <v>22</v>
      </c>
      <c r="K15" s="11">
        <f t="shared" si="0"/>
        <v>5.3571428571428568</v>
      </c>
      <c r="L15" s="11">
        <f t="shared" si="1"/>
        <v>2.4285714285714284</v>
      </c>
      <c r="M15" s="12">
        <f t="shared" si="2"/>
        <v>0.45333333333333331</v>
      </c>
      <c r="N15" s="11">
        <f t="shared" si="3"/>
        <v>1.5714285714285714</v>
      </c>
      <c r="O15" s="12">
        <f t="shared" si="4"/>
        <v>0.6470588235294118</v>
      </c>
      <c r="P15" s="12">
        <f t="shared" si="5"/>
        <v>0.29333333333333333</v>
      </c>
      <c r="Q15" s="13">
        <f t="shared" si="7"/>
        <v>2.4285714285714284</v>
      </c>
      <c r="R15" s="13">
        <f t="shared" si="8"/>
        <v>1.5714285714285714</v>
      </c>
    </row>
    <row r="16" spans="1:18" ht="15.75" customHeight="1" x14ac:dyDescent="0.3">
      <c r="A16" s="7" t="s">
        <v>32</v>
      </c>
      <c r="B16" s="7" t="s">
        <v>223</v>
      </c>
      <c r="C16" s="24" t="s">
        <v>58</v>
      </c>
      <c r="D16" s="24" t="s">
        <v>64</v>
      </c>
      <c r="E16" s="8">
        <v>46023</v>
      </c>
      <c r="F16" s="8">
        <v>46036</v>
      </c>
      <c r="G16" s="9">
        <f t="shared" si="6"/>
        <v>14</v>
      </c>
      <c r="H16" s="10">
        <v>78</v>
      </c>
      <c r="I16" s="10">
        <v>32</v>
      </c>
      <c r="J16" s="10">
        <v>20</v>
      </c>
      <c r="K16" s="11">
        <f t="shared" si="0"/>
        <v>5.5714285714285712</v>
      </c>
      <c r="L16" s="11">
        <f t="shared" si="1"/>
        <v>2.2857142857142856</v>
      </c>
      <c r="M16" s="12">
        <f t="shared" si="2"/>
        <v>0.41025641025641024</v>
      </c>
      <c r="N16" s="11">
        <f t="shared" si="3"/>
        <v>1.4285714285714286</v>
      </c>
      <c r="O16" s="12">
        <f t="shared" si="4"/>
        <v>0.625</v>
      </c>
      <c r="P16" s="12">
        <f t="shared" si="5"/>
        <v>0.25641025641025639</v>
      </c>
      <c r="Q16" s="13">
        <f t="shared" si="7"/>
        <v>2.2857142857142856</v>
      </c>
      <c r="R16" s="13">
        <f t="shared" si="8"/>
        <v>1.4285714285714284</v>
      </c>
    </row>
    <row r="17" spans="1:18" ht="15.75" customHeight="1" x14ac:dyDescent="0.3">
      <c r="A17" s="7" t="s">
        <v>32</v>
      </c>
      <c r="B17" s="7" t="s">
        <v>65</v>
      </c>
      <c r="C17" s="24" t="s">
        <v>58</v>
      </c>
      <c r="D17" s="24" t="s">
        <v>66</v>
      </c>
      <c r="E17" s="8">
        <v>46023</v>
      </c>
      <c r="F17" s="8">
        <v>46036</v>
      </c>
      <c r="G17" s="9">
        <f t="shared" si="6"/>
        <v>14</v>
      </c>
      <c r="H17" s="10">
        <v>135</v>
      </c>
      <c r="I17" s="10">
        <v>57</v>
      </c>
      <c r="J17" s="10">
        <v>31</v>
      </c>
      <c r="K17" s="11">
        <f t="shared" si="0"/>
        <v>9.6428571428571423</v>
      </c>
      <c r="L17" s="11">
        <f t="shared" si="1"/>
        <v>4.0714285714285712</v>
      </c>
      <c r="M17" s="12">
        <f t="shared" si="2"/>
        <v>0.42222222222222222</v>
      </c>
      <c r="N17" s="11">
        <f t="shared" si="3"/>
        <v>2.2142857142857144</v>
      </c>
      <c r="O17" s="12">
        <f t="shared" si="4"/>
        <v>0.54385964912280704</v>
      </c>
      <c r="P17" s="12">
        <f t="shared" si="5"/>
        <v>0.22962962962962963</v>
      </c>
      <c r="Q17" s="13">
        <f t="shared" si="7"/>
        <v>4.0714285714285712</v>
      </c>
      <c r="R17" s="13">
        <f t="shared" si="8"/>
        <v>2.214285714285714</v>
      </c>
    </row>
    <row r="18" spans="1:18" ht="15.75" customHeight="1" x14ac:dyDescent="0.3">
      <c r="A18" s="7" t="s">
        <v>32</v>
      </c>
      <c r="B18" s="7" t="s">
        <v>67</v>
      </c>
      <c r="C18" s="24" t="s">
        <v>58</v>
      </c>
      <c r="D18" s="24" t="s">
        <v>68</v>
      </c>
      <c r="E18" s="8">
        <v>46023</v>
      </c>
      <c r="F18" s="8">
        <v>46036</v>
      </c>
      <c r="G18" s="9">
        <f t="shared" si="6"/>
        <v>14</v>
      </c>
      <c r="H18" s="10">
        <v>22</v>
      </c>
      <c r="I18" s="10">
        <v>8</v>
      </c>
      <c r="J18" s="10">
        <v>5</v>
      </c>
      <c r="K18" s="11">
        <f t="shared" si="0"/>
        <v>1.5714285714285714</v>
      </c>
      <c r="L18" s="11">
        <f t="shared" si="1"/>
        <v>0.5714285714285714</v>
      </c>
      <c r="M18" s="12">
        <f t="shared" si="2"/>
        <v>0.36363636363636365</v>
      </c>
      <c r="N18" s="11">
        <f t="shared" si="3"/>
        <v>0.35714285714285715</v>
      </c>
      <c r="O18" s="12">
        <f t="shared" si="4"/>
        <v>0.625</v>
      </c>
      <c r="P18" s="12">
        <f t="shared" si="5"/>
        <v>0.22727272727272727</v>
      </c>
      <c r="Q18" s="13">
        <f t="shared" si="7"/>
        <v>0.5714285714285714</v>
      </c>
      <c r="R18" s="13">
        <f t="shared" si="8"/>
        <v>0.35714285714285715</v>
      </c>
    </row>
    <row r="19" spans="1:18" ht="15.75" customHeight="1" x14ac:dyDescent="0.3">
      <c r="A19" s="7" t="s">
        <v>32</v>
      </c>
      <c r="B19" s="7" t="s">
        <v>69</v>
      </c>
      <c r="C19" s="24" t="s">
        <v>58</v>
      </c>
      <c r="D19" s="24" t="s">
        <v>66</v>
      </c>
      <c r="E19" s="8">
        <v>46023</v>
      </c>
      <c r="F19" s="8">
        <v>46036</v>
      </c>
      <c r="G19" s="9">
        <f t="shared" si="6"/>
        <v>14</v>
      </c>
      <c r="H19" s="10">
        <v>520</v>
      </c>
      <c r="I19" s="10">
        <v>194</v>
      </c>
      <c r="J19" s="10">
        <v>99</v>
      </c>
      <c r="K19" s="11">
        <f t="shared" si="0"/>
        <v>37.142857142857146</v>
      </c>
      <c r="L19" s="11">
        <f t="shared" si="1"/>
        <v>13.857142857142858</v>
      </c>
      <c r="M19" s="12">
        <f t="shared" si="2"/>
        <v>0.37307692307692308</v>
      </c>
      <c r="N19" s="11">
        <f t="shared" si="3"/>
        <v>7.0714285714285712</v>
      </c>
      <c r="O19" s="12">
        <f t="shared" si="4"/>
        <v>0.51030927835051543</v>
      </c>
      <c r="P19" s="12">
        <f t="shared" si="5"/>
        <v>0.19038461538461537</v>
      </c>
      <c r="Q19" s="13">
        <f t="shared" si="7"/>
        <v>13.857142857142858</v>
      </c>
      <c r="R19" s="13">
        <f t="shared" si="8"/>
        <v>7.0714285714285721</v>
      </c>
    </row>
    <row r="20" spans="1:18" ht="15.75" customHeight="1" x14ac:dyDescent="0.3">
      <c r="A20" s="7" t="s">
        <v>32</v>
      </c>
      <c r="B20" s="7" t="s">
        <v>70</v>
      </c>
      <c r="C20" s="24" t="s">
        <v>58</v>
      </c>
      <c r="D20" s="24" t="s">
        <v>68</v>
      </c>
      <c r="E20" s="8">
        <v>46023</v>
      </c>
      <c r="F20" s="8">
        <v>46036</v>
      </c>
      <c r="G20" s="9">
        <f t="shared" si="6"/>
        <v>14</v>
      </c>
      <c r="H20" s="10">
        <v>79</v>
      </c>
      <c r="I20" s="10">
        <v>38</v>
      </c>
      <c r="J20" s="10">
        <v>28</v>
      </c>
      <c r="K20" s="11">
        <f t="shared" si="0"/>
        <v>5.6428571428571432</v>
      </c>
      <c r="L20" s="11">
        <f t="shared" si="1"/>
        <v>2.7142857142857144</v>
      </c>
      <c r="M20" s="12">
        <f t="shared" si="2"/>
        <v>0.48101265822784811</v>
      </c>
      <c r="N20" s="11">
        <f t="shared" si="3"/>
        <v>2</v>
      </c>
      <c r="O20" s="12">
        <f t="shared" si="4"/>
        <v>0.73684210526315785</v>
      </c>
      <c r="P20" s="12">
        <f t="shared" si="5"/>
        <v>0.35443037974683544</v>
      </c>
      <c r="Q20" s="13">
        <f t="shared" si="7"/>
        <v>2.7142857142857144</v>
      </c>
      <c r="R20" s="13">
        <f t="shared" si="8"/>
        <v>2</v>
      </c>
    </row>
    <row r="21" spans="1:18" ht="15.75" customHeight="1" x14ac:dyDescent="0.3">
      <c r="A21" s="7" t="s">
        <v>32</v>
      </c>
      <c r="B21" s="7" t="s">
        <v>71</v>
      </c>
      <c r="C21" s="24" t="s">
        <v>58</v>
      </c>
      <c r="D21" s="24" t="s">
        <v>66</v>
      </c>
      <c r="E21" s="8">
        <v>46023</v>
      </c>
      <c r="F21" s="8">
        <v>46036</v>
      </c>
      <c r="G21" s="9">
        <f t="shared" si="6"/>
        <v>14</v>
      </c>
      <c r="H21" s="10">
        <v>47</v>
      </c>
      <c r="I21" s="10">
        <v>16</v>
      </c>
      <c r="J21" s="10">
        <v>9</v>
      </c>
      <c r="K21" s="11">
        <f t="shared" si="0"/>
        <v>3.3571428571428572</v>
      </c>
      <c r="L21" s="11">
        <f t="shared" si="1"/>
        <v>1.1428571428571428</v>
      </c>
      <c r="M21" s="12">
        <f t="shared" si="2"/>
        <v>0.34042553191489361</v>
      </c>
      <c r="N21" s="11">
        <f t="shared" si="3"/>
        <v>0.6428571428571429</v>
      </c>
      <c r="O21" s="12">
        <f t="shared" si="4"/>
        <v>0.5625</v>
      </c>
      <c r="P21" s="12">
        <f t="shared" si="5"/>
        <v>0.19148936170212766</v>
      </c>
      <c r="Q21" s="13">
        <f t="shared" si="7"/>
        <v>1.1428571428571428</v>
      </c>
      <c r="R21" s="13">
        <f t="shared" si="8"/>
        <v>0.6428571428571429</v>
      </c>
    </row>
    <row r="22" spans="1:18" ht="15.75" customHeight="1" x14ac:dyDescent="0.3">
      <c r="A22" s="7" t="s">
        <v>32</v>
      </c>
      <c r="B22" s="7" t="s">
        <v>72</v>
      </c>
      <c r="C22" s="24" t="s">
        <v>58</v>
      </c>
      <c r="D22" s="24" t="s">
        <v>68</v>
      </c>
      <c r="E22" s="8">
        <v>46023</v>
      </c>
      <c r="F22" s="8">
        <v>46036</v>
      </c>
      <c r="G22" s="9">
        <f t="shared" si="6"/>
        <v>14</v>
      </c>
      <c r="H22" s="10">
        <v>26</v>
      </c>
      <c r="I22" s="10">
        <v>13</v>
      </c>
      <c r="J22" s="10">
        <v>7</v>
      </c>
      <c r="K22" s="11">
        <f t="shared" si="0"/>
        <v>1.8571428571428572</v>
      </c>
      <c r="L22" s="11">
        <f t="shared" si="1"/>
        <v>0.9285714285714286</v>
      </c>
      <c r="M22" s="12">
        <f t="shared" si="2"/>
        <v>0.5</v>
      </c>
      <c r="N22" s="11">
        <f t="shared" si="3"/>
        <v>0.5</v>
      </c>
      <c r="O22" s="12">
        <f t="shared" si="4"/>
        <v>0.53846153846153844</v>
      </c>
      <c r="P22" s="12">
        <f t="shared" si="5"/>
        <v>0.26923076923076922</v>
      </c>
      <c r="Q22" s="13">
        <f t="shared" si="7"/>
        <v>0.9285714285714286</v>
      </c>
      <c r="R22" s="13">
        <f t="shared" si="8"/>
        <v>0.5</v>
      </c>
    </row>
    <row r="23" spans="1:18" ht="15.75" customHeight="1" x14ac:dyDescent="0.3">
      <c r="A23" s="7" t="s">
        <v>32</v>
      </c>
      <c r="B23" s="7" t="s">
        <v>73</v>
      </c>
      <c r="C23" s="24" t="s">
        <v>58</v>
      </c>
      <c r="D23" s="24" t="s">
        <v>74</v>
      </c>
      <c r="E23" s="8">
        <v>46023</v>
      </c>
      <c r="F23" s="8">
        <v>46036</v>
      </c>
      <c r="G23" s="9">
        <f t="shared" si="6"/>
        <v>14</v>
      </c>
      <c r="H23" s="10">
        <v>335</v>
      </c>
      <c r="I23" s="10">
        <v>138</v>
      </c>
      <c r="J23" s="10">
        <v>89</v>
      </c>
      <c r="K23" s="11">
        <f t="shared" si="0"/>
        <v>23.928571428571427</v>
      </c>
      <c r="L23" s="11">
        <f t="shared" si="1"/>
        <v>9.8571428571428577</v>
      </c>
      <c r="M23" s="12">
        <f t="shared" si="2"/>
        <v>0.41194029850746267</v>
      </c>
      <c r="N23" s="11">
        <f t="shared" si="3"/>
        <v>6.3571428571428568</v>
      </c>
      <c r="O23" s="12">
        <f t="shared" si="4"/>
        <v>0.64492753623188404</v>
      </c>
      <c r="P23" s="12">
        <f t="shared" si="5"/>
        <v>0.2656716417910448</v>
      </c>
      <c r="Q23" s="13">
        <f t="shared" si="7"/>
        <v>9.8571428571428559</v>
      </c>
      <c r="R23" s="13">
        <f t="shared" si="8"/>
        <v>6.3571428571428577</v>
      </c>
    </row>
    <row r="24" spans="1:18" ht="15.75" customHeight="1" x14ac:dyDescent="0.3">
      <c r="A24" s="7" t="s">
        <v>32</v>
      </c>
      <c r="B24" s="7" t="s">
        <v>75</v>
      </c>
      <c r="C24" s="24" t="s">
        <v>58</v>
      </c>
      <c r="D24" s="24" t="s">
        <v>74</v>
      </c>
      <c r="E24" s="8">
        <v>46023</v>
      </c>
      <c r="F24" s="8">
        <v>46036</v>
      </c>
      <c r="G24" s="9">
        <f t="shared" si="6"/>
        <v>14</v>
      </c>
      <c r="H24" s="10">
        <v>68</v>
      </c>
      <c r="I24" s="10">
        <v>27</v>
      </c>
      <c r="J24" s="10">
        <v>16</v>
      </c>
      <c r="K24" s="11">
        <f t="shared" si="0"/>
        <v>4.8571428571428568</v>
      </c>
      <c r="L24" s="11">
        <f t="shared" si="1"/>
        <v>1.9285714285714286</v>
      </c>
      <c r="M24" s="12">
        <f t="shared" si="2"/>
        <v>0.39705882352941174</v>
      </c>
      <c r="N24" s="11">
        <f t="shared" si="3"/>
        <v>1.1428571428571428</v>
      </c>
      <c r="O24" s="12">
        <f t="shared" si="4"/>
        <v>0.59259259259259256</v>
      </c>
      <c r="P24" s="12">
        <f t="shared" si="5"/>
        <v>0.23529411764705882</v>
      </c>
      <c r="Q24" s="13">
        <f t="shared" si="7"/>
        <v>1.9285714285714284</v>
      </c>
      <c r="R24" s="13">
        <f t="shared" si="8"/>
        <v>1.1428571428571428</v>
      </c>
    </row>
    <row r="25" spans="1:18" ht="15.75" customHeight="1" x14ac:dyDescent="0.3">
      <c r="A25" s="7" t="s">
        <v>32</v>
      </c>
      <c r="B25" s="7" t="s">
        <v>180</v>
      </c>
      <c r="C25" s="24" t="s">
        <v>58</v>
      </c>
      <c r="D25" s="24" t="s">
        <v>59</v>
      </c>
      <c r="E25" s="8">
        <v>46023</v>
      </c>
      <c r="F25" s="8">
        <v>46036</v>
      </c>
      <c r="G25" s="9">
        <f t="shared" si="6"/>
        <v>14</v>
      </c>
      <c r="H25" s="10">
        <v>421</v>
      </c>
      <c r="I25" s="10">
        <v>176</v>
      </c>
      <c r="J25" s="10">
        <v>120</v>
      </c>
      <c r="K25" s="11">
        <f t="shared" si="0"/>
        <v>30.071428571428573</v>
      </c>
      <c r="L25" s="11">
        <f t="shared" si="1"/>
        <v>12.571428571428571</v>
      </c>
      <c r="M25" s="12">
        <f t="shared" si="2"/>
        <v>0.41805225653206651</v>
      </c>
      <c r="N25" s="11">
        <f t="shared" si="3"/>
        <v>8.5714285714285712</v>
      </c>
      <c r="O25" s="12">
        <f t="shared" si="4"/>
        <v>0.68181818181818177</v>
      </c>
      <c r="P25" s="12">
        <f t="shared" si="5"/>
        <v>0.28503562945368172</v>
      </c>
      <c r="Q25" s="13">
        <f t="shared" si="7"/>
        <v>12.571428571428573</v>
      </c>
      <c r="R25" s="13">
        <f t="shared" si="8"/>
        <v>8.5714285714285712</v>
      </c>
    </row>
    <row r="26" spans="1:18" ht="15.75" customHeight="1" x14ac:dyDescent="0.3">
      <c r="A26" s="7" t="s">
        <v>77</v>
      </c>
      <c r="B26" s="7" t="s">
        <v>78</v>
      </c>
      <c r="C26" s="24" t="s">
        <v>34</v>
      </c>
      <c r="D26" s="24" t="s">
        <v>35</v>
      </c>
      <c r="E26" s="8">
        <v>46037</v>
      </c>
      <c r="F26" s="8">
        <v>46047</v>
      </c>
      <c r="G26" s="9">
        <f t="shared" si="6"/>
        <v>11</v>
      </c>
      <c r="H26" s="10">
        <v>1140</v>
      </c>
      <c r="I26" s="10">
        <v>408</v>
      </c>
      <c r="J26" s="10">
        <v>254</v>
      </c>
      <c r="K26" s="11">
        <f t="shared" si="0"/>
        <v>103.63636363636364</v>
      </c>
      <c r="L26" s="11">
        <f t="shared" si="1"/>
        <v>37.090909090909093</v>
      </c>
      <c r="M26" s="12">
        <f t="shared" si="2"/>
        <v>0.35789473684210527</v>
      </c>
      <c r="N26" s="11">
        <f t="shared" si="3"/>
        <v>23.09090909090909</v>
      </c>
      <c r="O26" s="12">
        <f t="shared" si="4"/>
        <v>0.62254901960784315</v>
      </c>
      <c r="P26" s="12">
        <f t="shared" si="5"/>
        <v>0.22280701754385965</v>
      </c>
      <c r="Q26" s="13">
        <f t="shared" si="7"/>
        <v>37.090909090909093</v>
      </c>
      <c r="R26" s="13">
        <f t="shared" si="8"/>
        <v>23.09090909090909</v>
      </c>
    </row>
    <row r="27" spans="1:18" ht="15.75" customHeight="1" x14ac:dyDescent="0.3">
      <c r="A27" s="7" t="s">
        <v>77</v>
      </c>
      <c r="B27" s="7" t="s">
        <v>242</v>
      </c>
      <c r="C27" s="24" t="s">
        <v>34</v>
      </c>
      <c r="D27" s="24" t="s">
        <v>35</v>
      </c>
      <c r="E27" s="8">
        <v>46037</v>
      </c>
      <c r="F27" s="8">
        <v>46047</v>
      </c>
      <c r="G27" s="9">
        <f t="shared" si="6"/>
        <v>11</v>
      </c>
      <c r="H27" s="10">
        <v>1</v>
      </c>
      <c r="I27" s="10">
        <v>0</v>
      </c>
      <c r="J27" s="10">
        <v>0</v>
      </c>
      <c r="K27" s="11">
        <f t="shared" si="0"/>
        <v>9.0909090909090912E-2</v>
      </c>
      <c r="L27" s="11">
        <f t="shared" si="1"/>
        <v>0</v>
      </c>
      <c r="M27" s="12">
        <f t="shared" si="2"/>
        <v>0</v>
      </c>
      <c r="N27" s="11">
        <f t="shared" si="3"/>
        <v>0</v>
      </c>
      <c r="O27" s="12" t="str">
        <f t="shared" si="4"/>
        <v/>
      </c>
      <c r="P27" s="12">
        <f t="shared" si="5"/>
        <v>0</v>
      </c>
      <c r="Q27" s="13">
        <f t="shared" si="7"/>
        <v>0</v>
      </c>
      <c r="R27" s="13">
        <f t="shared" si="8"/>
        <v>0</v>
      </c>
    </row>
    <row r="28" spans="1:18" ht="15.75" customHeight="1" x14ac:dyDescent="0.3">
      <c r="A28" s="7" t="s">
        <v>77</v>
      </c>
      <c r="B28" s="7" t="s">
        <v>79</v>
      </c>
      <c r="C28" s="24" t="s">
        <v>34</v>
      </c>
      <c r="D28" s="24" t="s">
        <v>35</v>
      </c>
      <c r="E28" s="8">
        <v>46037</v>
      </c>
      <c r="F28" s="8">
        <v>46047</v>
      </c>
      <c r="G28" s="9">
        <f t="shared" si="6"/>
        <v>11</v>
      </c>
      <c r="H28" s="10">
        <v>100</v>
      </c>
      <c r="I28" s="10">
        <v>46</v>
      </c>
      <c r="J28" s="10">
        <v>32</v>
      </c>
      <c r="K28" s="11">
        <f t="shared" si="0"/>
        <v>9.0909090909090917</v>
      </c>
      <c r="L28" s="11">
        <f t="shared" si="1"/>
        <v>4.1818181818181817</v>
      </c>
      <c r="M28" s="12">
        <f t="shared" si="2"/>
        <v>0.46</v>
      </c>
      <c r="N28" s="11">
        <f t="shared" si="3"/>
        <v>2.9090909090909092</v>
      </c>
      <c r="O28" s="12">
        <f t="shared" si="4"/>
        <v>0.69565217391304346</v>
      </c>
      <c r="P28" s="12">
        <f t="shared" si="5"/>
        <v>0.32</v>
      </c>
      <c r="Q28" s="13">
        <f t="shared" si="7"/>
        <v>4.1818181818181825</v>
      </c>
      <c r="R28" s="13">
        <f t="shared" si="8"/>
        <v>2.9090909090909096</v>
      </c>
    </row>
    <row r="29" spans="1:18" ht="15.75" customHeight="1" x14ac:dyDescent="0.3">
      <c r="A29" s="7" t="s">
        <v>77</v>
      </c>
      <c r="B29" s="7" t="s">
        <v>80</v>
      </c>
      <c r="C29" s="24" t="s">
        <v>34</v>
      </c>
      <c r="D29" s="24" t="s">
        <v>35</v>
      </c>
      <c r="E29" s="8">
        <v>46037</v>
      </c>
      <c r="F29" s="8">
        <v>46047</v>
      </c>
      <c r="G29" s="9">
        <f t="shared" si="6"/>
        <v>11</v>
      </c>
      <c r="H29" s="10" t="s">
        <v>433</v>
      </c>
      <c r="I29" s="10" t="s">
        <v>433</v>
      </c>
      <c r="J29" s="10" t="s">
        <v>433</v>
      </c>
      <c r="K29" s="11" t="str">
        <f t="shared" si="0"/>
        <v/>
      </c>
      <c r="L29" s="11" t="str">
        <f t="shared" si="1"/>
        <v/>
      </c>
      <c r="M29" s="12" t="str">
        <f t="shared" si="2"/>
        <v/>
      </c>
      <c r="N29" s="11" t="str">
        <f t="shared" si="3"/>
        <v/>
      </c>
      <c r="O29" s="12" t="str">
        <f t="shared" si="4"/>
        <v/>
      </c>
      <c r="P29" s="12" t="str">
        <f t="shared" si="5"/>
        <v/>
      </c>
      <c r="Q29" s="13" t="str">
        <f t="shared" si="7"/>
        <v/>
      </c>
      <c r="R29" s="13" t="str">
        <f t="shared" si="8"/>
        <v/>
      </c>
    </row>
    <row r="30" spans="1:18" ht="15.75" customHeight="1" x14ac:dyDescent="0.3">
      <c r="A30" s="7" t="s">
        <v>77</v>
      </c>
      <c r="B30" s="7" t="s">
        <v>81</v>
      </c>
      <c r="C30" s="24" t="s">
        <v>34</v>
      </c>
      <c r="D30" s="24" t="s">
        <v>35</v>
      </c>
      <c r="E30" s="8">
        <v>46037</v>
      </c>
      <c r="F30" s="8">
        <v>46047</v>
      </c>
      <c r="G30" s="9">
        <f t="shared" si="6"/>
        <v>11</v>
      </c>
      <c r="H30" s="10">
        <v>653</v>
      </c>
      <c r="I30" s="10">
        <v>218</v>
      </c>
      <c r="J30" s="10">
        <v>107</v>
      </c>
      <c r="K30" s="11">
        <f t="shared" si="0"/>
        <v>59.363636363636367</v>
      </c>
      <c r="L30" s="11">
        <f t="shared" si="1"/>
        <v>19.818181818181817</v>
      </c>
      <c r="M30" s="12">
        <f t="shared" si="2"/>
        <v>0.33384379785604901</v>
      </c>
      <c r="N30" s="11">
        <f t="shared" si="3"/>
        <v>9.7272727272727266</v>
      </c>
      <c r="O30" s="12">
        <f t="shared" si="4"/>
        <v>0.49082568807339449</v>
      </c>
      <c r="P30" s="12">
        <f t="shared" si="5"/>
        <v>0.16385911179173049</v>
      </c>
      <c r="Q30" s="13">
        <f t="shared" si="7"/>
        <v>19.81818181818182</v>
      </c>
      <c r="R30" s="13">
        <f t="shared" si="8"/>
        <v>9.7272727272727284</v>
      </c>
    </row>
    <row r="31" spans="1:18" ht="15.75" customHeight="1" x14ac:dyDescent="0.3">
      <c r="A31" s="7" t="s">
        <v>77</v>
      </c>
      <c r="B31" s="7" t="s">
        <v>82</v>
      </c>
      <c r="C31" s="24" t="s">
        <v>34</v>
      </c>
      <c r="D31" s="24" t="s">
        <v>35</v>
      </c>
      <c r="E31" s="8">
        <v>46037</v>
      </c>
      <c r="F31" s="8">
        <v>46047</v>
      </c>
      <c r="G31" s="9">
        <f t="shared" si="6"/>
        <v>11</v>
      </c>
      <c r="H31" s="10">
        <v>8</v>
      </c>
      <c r="I31" s="10">
        <v>3</v>
      </c>
      <c r="J31" s="10">
        <v>2</v>
      </c>
      <c r="K31" s="11">
        <f t="shared" si="0"/>
        <v>0.72727272727272729</v>
      </c>
      <c r="L31" s="11">
        <f t="shared" si="1"/>
        <v>0.27272727272727271</v>
      </c>
      <c r="M31" s="12">
        <f t="shared" si="2"/>
        <v>0.375</v>
      </c>
      <c r="N31" s="11">
        <f t="shared" si="3"/>
        <v>0.18181818181818182</v>
      </c>
      <c r="O31" s="12">
        <f t="shared" si="4"/>
        <v>0.66666666666666663</v>
      </c>
      <c r="P31" s="12">
        <f t="shared" si="5"/>
        <v>0.25</v>
      </c>
    </row>
    <row r="32" spans="1:18" ht="15.75" customHeight="1" x14ac:dyDescent="0.3">
      <c r="A32" s="7" t="s">
        <v>77</v>
      </c>
      <c r="B32" s="7" t="s">
        <v>83</v>
      </c>
      <c r="C32" s="24" t="s">
        <v>34</v>
      </c>
      <c r="D32" s="24" t="s">
        <v>35</v>
      </c>
      <c r="E32" s="8">
        <v>46037</v>
      </c>
      <c r="F32" s="8">
        <v>46047</v>
      </c>
      <c r="G32" s="9">
        <f t="shared" si="6"/>
        <v>11</v>
      </c>
      <c r="H32" s="10">
        <v>92</v>
      </c>
      <c r="I32" s="10">
        <v>10</v>
      </c>
      <c r="J32" s="10">
        <v>7</v>
      </c>
      <c r="K32" s="11">
        <f t="shared" si="0"/>
        <v>8.3636363636363633</v>
      </c>
      <c r="L32" s="11">
        <f t="shared" si="1"/>
        <v>0.90909090909090906</v>
      </c>
      <c r="M32" s="12">
        <f t="shared" si="2"/>
        <v>0.10869565217391304</v>
      </c>
      <c r="N32" s="11">
        <f t="shared" si="3"/>
        <v>0.63636363636363635</v>
      </c>
      <c r="O32" s="12">
        <f t="shared" si="4"/>
        <v>0.7</v>
      </c>
      <c r="P32" s="12">
        <f t="shared" si="5"/>
        <v>7.6086956521739135E-2</v>
      </c>
      <c r="Q32" s="13">
        <f>IFERROR((I32/H32)*K32,"")</f>
        <v>0.90909090909090906</v>
      </c>
      <c r="R32" s="13">
        <f>IFERROR((J32/H32)*K32,"")</f>
        <v>0.63636363636363635</v>
      </c>
    </row>
    <row r="33" spans="1:18" ht="15.75" customHeight="1" x14ac:dyDescent="0.3">
      <c r="A33" s="7" t="s">
        <v>77</v>
      </c>
      <c r="B33" s="7" t="s">
        <v>84</v>
      </c>
      <c r="C33" s="24" t="s">
        <v>58</v>
      </c>
      <c r="D33" s="24" t="s">
        <v>64</v>
      </c>
      <c r="E33" s="8">
        <v>46037</v>
      </c>
      <c r="F33" s="8">
        <v>46047</v>
      </c>
      <c r="G33" s="9">
        <f t="shared" si="6"/>
        <v>11</v>
      </c>
      <c r="H33" s="10">
        <v>22</v>
      </c>
      <c r="I33" s="10">
        <v>13</v>
      </c>
      <c r="J33" s="10">
        <v>11</v>
      </c>
      <c r="K33" s="11">
        <f t="shared" si="0"/>
        <v>2</v>
      </c>
      <c r="L33" s="11">
        <f t="shared" si="1"/>
        <v>1.1818181818181819</v>
      </c>
      <c r="M33" s="12">
        <f t="shared" si="2"/>
        <v>0.59090909090909094</v>
      </c>
      <c r="N33" s="11">
        <f t="shared" si="3"/>
        <v>1</v>
      </c>
      <c r="O33" s="12">
        <f t="shared" si="4"/>
        <v>0.84615384615384615</v>
      </c>
      <c r="P33" s="12">
        <f t="shared" si="5"/>
        <v>0.5</v>
      </c>
    </row>
    <row r="34" spans="1:18" ht="15.75" customHeight="1" x14ac:dyDescent="0.3">
      <c r="A34" s="7" t="s">
        <v>77</v>
      </c>
      <c r="B34" s="7" t="s">
        <v>85</v>
      </c>
      <c r="C34" s="24" t="s">
        <v>58</v>
      </c>
      <c r="D34" s="24" t="s">
        <v>64</v>
      </c>
      <c r="E34" s="8">
        <v>46037</v>
      </c>
      <c r="F34" s="8">
        <v>46047</v>
      </c>
      <c r="G34" s="9">
        <f t="shared" si="6"/>
        <v>11</v>
      </c>
      <c r="H34" s="10">
        <v>105</v>
      </c>
      <c r="I34" s="10">
        <v>59</v>
      </c>
      <c r="J34" s="10">
        <v>38</v>
      </c>
      <c r="K34" s="11">
        <f t="shared" si="0"/>
        <v>9.545454545454545</v>
      </c>
      <c r="L34" s="11">
        <f t="shared" si="1"/>
        <v>5.3636363636363633</v>
      </c>
      <c r="M34" s="12">
        <f t="shared" si="2"/>
        <v>0.56190476190476191</v>
      </c>
      <c r="N34" s="11">
        <f t="shared" si="3"/>
        <v>3.4545454545454546</v>
      </c>
      <c r="O34" s="12">
        <f t="shared" si="4"/>
        <v>0.64406779661016944</v>
      </c>
      <c r="P34" s="12">
        <f t="shared" si="5"/>
        <v>0.3619047619047619</v>
      </c>
      <c r="Q34" s="13">
        <f t="shared" ref="Q34:Q59" si="9">IFERROR((I34/H34)*K34,"")</f>
        <v>5.3636363636363633</v>
      </c>
      <c r="R34" s="13">
        <f t="shared" ref="R34:R59" si="10">IFERROR((J34/H34)*K34,"")</f>
        <v>3.4545454545454541</v>
      </c>
    </row>
    <row r="35" spans="1:18" ht="15.75" customHeight="1" x14ac:dyDescent="0.3">
      <c r="A35" s="7" t="s">
        <v>77</v>
      </c>
      <c r="B35" s="7" t="s">
        <v>63</v>
      </c>
      <c r="C35" s="24" t="s">
        <v>58</v>
      </c>
      <c r="D35" s="24" t="s">
        <v>64</v>
      </c>
      <c r="E35" s="8">
        <v>46037</v>
      </c>
      <c r="F35" s="8">
        <v>46047</v>
      </c>
      <c r="G35" s="9">
        <f t="shared" si="6"/>
        <v>11</v>
      </c>
      <c r="H35" s="10">
        <v>66</v>
      </c>
      <c r="I35" s="10">
        <v>36</v>
      </c>
      <c r="J35" s="10">
        <v>25</v>
      </c>
      <c r="K35" s="11">
        <f t="shared" si="0"/>
        <v>6</v>
      </c>
      <c r="L35" s="11">
        <f t="shared" si="1"/>
        <v>3.2727272727272729</v>
      </c>
      <c r="M35" s="12">
        <f t="shared" si="2"/>
        <v>0.54545454545454541</v>
      </c>
      <c r="N35" s="11">
        <f t="shared" si="3"/>
        <v>2.2727272727272729</v>
      </c>
      <c r="O35" s="12">
        <f t="shared" si="4"/>
        <v>0.69444444444444442</v>
      </c>
      <c r="P35" s="12">
        <f t="shared" si="5"/>
        <v>0.37878787878787878</v>
      </c>
      <c r="Q35" s="13">
        <f t="shared" si="9"/>
        <v>3.2727272727272725</v>
      </c>
      <c r="R35" s="13">
        <f t="shared" si="10"/>
        <v>2.2727272727272725</v>
      </c>
    </row>
    <row r="36" spans="1:18" ht="15.75" customHeight="1" x14ac:dyDescent="0.3">
      <c r="A36" s="7" t="s">
        <v>77</v>
      </c>
      <c r="B36" s="7" t="s">
        <v>86</v>
      </c>
      <c r="C36" s="24" t="s">
        <v>58</v>
      </c>
      <c r="D36" s="24" t="s">
        <v>64</v>
      </c>
      <c r="E36" s="8">
        <v>46037</v>
      </c>
      <c r="F36" s="8">
        <v>46047</v>
      </c>
      <c r="G36" s="9">
        <f t="shared" si="6"/>
        <v>11</v>
      </c>
      <c r="H36" s="10">
        <v>7</v>
      </c>
      <c r="I36" s="10">
        <v>3</v>
      </c>
      <c r="J36" s="10">
        <v>3</v>
      </c>
      <c r="K36" s="11">
        <f t="shared" si="0"/>
        <v>0.63636363636363635</v>
      </c>
      <c r="L36" s="11">
        <f t="shared" si="1"/>
        <v>0.27272727272727271</v>
      </c>
      <c r="M36" s="12">
        <f t="shared" si="2"/>
        <v>0.42857142857142855</v>
      </c>
      <c r="N36" s="11">
        <f t="shared" si="3"/>
        <v>0.27272727272727271</v>
      </c>
      <c r="O36" s="12">
        <f t="shared" si="4"/>
        <v>1</v>
      </c>
      <c r="P36" s="12">
        <f t="shared" si="5"/>
        <v>0.42857142857142855</v>
      </c>
      <c r="Q36" s="13">
        <f t="shared" si="9"/>
        <v>0.27272727272727271</v>
      </c>
      <c r="R36" s="13">
        <f t="shared" si="10"/>
        <v>0.27272727272727271</v>
      </c>
    </row>
    <row r="37" spans="1:18" ht="15.75" customHeight="1" x14ac:dyDescent="0.3">
      <c r="A37" s="7" t="s">
        <v>77</v>
      </c>
      <c r="B37" s="7" t="s">
        <v>87</v>
      </c>
      <c r="C37" s="24" t="s">
        <v>58</v>
      </c>
      <c r="D37" s="24" t="s">
        <v>64</v>
      </c>
      <c r="E37" s="8">
        <v>46037</v>
      </c>
      <c r="F37" s="8">
        <v>46047</v>
      </c>
      <c r="G37" s="9">
        <f t="shared" si="6"/>
        <v>11</v>
      </c>
      <c r="H37" s="10">
        <v>14</v>
      </c>
      <c r="I37" s="10">
        <v>10</v>
      </c>
      <c r="J37" s="10">
        <v>7</v>
      </c>
      <c r="K37" s="11">
        <f t="shared" si="0"/>
        <v>1.2727272727272727</v>
      </c>
      <c r="L37" s="11">
        <f t="shared" si="1"/>
        <v>0.90909090909090906</v>
      </c>
      <c r="M37" s="12">
        <f t="shared" si="2"/>
        <v>0.7142857142857143</v>
      </c>
      <c r="N37" s="11">
        <f t="shared" si="3"/>
        <v>0.63636363636363635</v>
      </c>
      <c r="O37" s="12">
        <f t="shared" si="4"/>
        <v>0.7</v>
      </c>
      <c r="P37" s="12">
        <f t="shared" si="5"/>
        <v>0.5</v>
      </c>
      <c r="Q37" s="13">
        <f t="shared" si="9"/>
        <v>0.90909090909090906</v>
      </c>
      <c r="R37" s="13">
        <f t="shared" si="10"/>
        <v>0.63636363636363635</v>
      </c>
    </row>
    <row r="38" spans="1:18" ht="15.75" customHeight="1" x14ac:dyDescent="0.3">
      <c r="A38" s="7" t="s">
        <v>77</v>
      </c>
      <c r="B38" s="7" t="s">
        <v>46</v>
      </c>
      <c r="C38" s="24" t="s">
        <v>47</v>
      </c>
      <c r="D38" s="24" t="s">
        <v>48</v>
      </c>
      <c r="E38" s="8">
        <v>46037</v>
      </c>
      <c r="F38" s="8">
        <v>46047</v>
      </c>
      <c r="G38" s="9">
        <f t="shared" si="6"/>
        <v>11</v>
      </c>
      <c r="H38" s="10">
        <v>1449</v>
      </c>
      <c r="I38" s="10">
        <v>462</v>
      </c>
      <c r="J38" s="10">
        <v>329</v>
      </c>
      <c r="K38" s="11">
        <f t="shared" si="0"/>
        <v>131.72727272727272</v>
      </c>
      <c r="L38" s="11">
        <f t="shared" si="1"/>
        <v>42</v>
      </c>
      <c r="M38" s="12">
        <f t="shared" si="2"/>
        <v>0.3188405797101449</v>
      </c>
      <c r="N38" s="11">
        <f t="shared" si="3"/>
        <v>29.90909090909091</v>
      </c>
      <c r="O38" s="12">
        <f t="shared" si="4"/>
        <v>0.71212121212121215</v>
      </c>
      <c r="P38" s="12">
        <f t="shared" si="5"/>
        <v>0.22705314009661837</v>
      </c>
      <c r="Q38" s="13">
        <f t="shared" si="9"/>
        <v>41.999999999999993</v>
      </c>
      <c r="R38" s="13">
        <f t="shared" si="10"/>
        <v>29.90909090909091</v>
      </c>
    </row>
    <row r="39" spans="1:18" ht="15.75" customHeight="1" x14ac:dyDescent="0.3">
      <c r="A39" s="7" t="s">
        <v>77</v>
      </c>
      <c r="B39" s="7" t="s">
        <v>49</v>
      </c>
      <c r="C39" s="24" t="s">
        <v>47</v>
      </c>
      <c r="D39" s="24" t="s">
        <v>48</v>
      </c>
      <c r="E39" s="8">
        <v>46037</v>
      </c>
      <c r="F39" s="8">
        <v>46047</v>
      </c>
      <c r="G39" s="9">
        <f t="shared" si="6"/>
        <v>11</v>
      </c>
      <c r="H39" s="10">
        <v>28</v>
      </c>
      <c r="I39" s="10">
        <v>8</v>
      </c>
      <c r="J39" s="10">
        <v>8</v>
      </c>
      <c r="K39" s="11">
        <f t="shared" si="0"/>
        <v>2.5454545454545454</v>
      </c>
      <c r="L39" s="11">
        <f t="shared" si="1"/>
        <v>0.72727272727272729</v>
      </c>
      <c r="M39" s="12">
        <f t="shared" si="2"/>
        <v>0.2857142857142857</v>
      </c>
      <c r="N39" s="11">
        <f t="shared" si="3"/>
        <v>0.72727272727272729</v>
      </c>
      <c r="O39" s="12">
        <f t="shared" si="4"/>
        <v>1</v>
      </c>
      <c r="P39" s="12">
        <f t="shared" si="5"/>
        <v>0.2857142857142857</v>
      </c>
      <c r="Q39" s="13">
        <f t="shared" si="9"/>
        <v>0.72727272727272718</v>
      </c>
      <c r="R39" s="13">
        <f t="shared" si="10"/>
        <v>0.72727272727272718</v>
      </c>
    </row>
    <row r="40" spans="1:18" ht="15.75" customHeight="1" x14ac:dyDescent="0.3">
      <c r="A40" s="7" t="s">
        <v>77</v>
      </c>
      <c r="B40" s="7" t="s">
        <v>50</v>
      </c>
      <c r="C40" s="24" t="s">
        <v>47</v>
      </c>
      <c r="D40" s="24" t="s">
        <v>48</v>
      </c>
      <c r="E40" s="8">
        <v>46037</v>
      </c>
      <c r="F40" s="8">
        <v>46047</v>
      </c>
      <c r="G40" s="9">
        <f t="shared" si="6"/>
        <v>11</v>
      </c>
      <c r="H40" s="10">
        <v>479</v>
      </c>
      <c r="I40" s="10">
        <v>102</v>
      </c>
      <c r="J40" s="10">
        <v>76</v>
      </c>
      <c r="K40" s="11">
        <f t="shared" si="0"/>
        <v>43.545454545454547</v>
      </c>
      <c r="L40" s="11">
        <f t="shared" si="1"/>
        <v>9.2727272727272734</v>
      </c>
      <c r="M40" s="12">
        <f t="shared" si="2"/>
        <v>0.21294363256784968</v>
      </c>
      <c r="N40" s="11">
        <f t="shared" si="3"/>
        <v>6.9090909090909092</v>
      </c>
      <c r="O40" s="12">
        <f t="shared" si="4"/>
        <v>0.74509803921568629</v>
      </c>
      <c r="P40" s="12">
        <f t="shared" si="5"/>
        <v>0.15866388308977036</v>
      </c>
      <c r="Q40" s="13">
        <f t="shared" si="9"/>
        <v>9.2727272727272734</v>
      </c>
      <c r="R40" s="13">
        <f t="shared" si="10"/>
        <v>6.9090909090909101</v>
      </c>
    </row>
    <row r="41" spans="1:18" ht="15.75" customHeight="1" x14ac:dyDescent="0.3">
      <c r="A41" s="7" t="s">
        <v>77</v>
      </c>
      <c r="B41" s="7" t="s">
        <v>51</v>
      </c>
      <c r="C41" s="24" t="s">
        <v>47</v>
      </c>
      <c r="D41" s="24" t="s">
        <v>48</v>
      </c>
      <c r="E41" s="8">
        <v>46037</v>
      </c>
      <c r="F41" s="8">
        <v>46047</v>
      </c>
      <c r="G41" s="9">
        <f t="shared" si="6"/>
        <v>11</v>
      </c>
      <c r="H41" s="10">
        <v>9</v>
      </c>
      <c r="I41" s="10">
        <v>2</v>
      </c>
      <c r="J41" s="10">
        <v>1</v>
      </c>
      <c r="K41" s="11">
        <f t="shared" si="0"/>
        <v>0.81818181818181823</v>
      </c>
      <c r="L41" s="11">
        <f t="shared" si="1"/>
        <v>0.18181818181818182</v>
      </c>
      <c r="M41" s="12">
        <f t="shared" si="2"/>
        <v>0.22222222222222221</v>
      </c>
      <c r="N41" s="11">
        <f t="shared" si="3"/>
        <v>9.0909090909090912E-2</v>
      </c>
      <c r="O41" s="12">
        <f t="shared" si="4"/>
        <v>0.5</v>
      </c>
      <c r="P41" s="12">
        <f t="shared" si="5"/>
        <v>0.1111111111111111</v>
      </c>
      <c r="Q41" s="13">
        <f t="shared" si="9"/>
        <v>0.18181818181818182</v>
      </c>
      <c r="R41" s="13">
        <f t="shared" si="10"/>
        <v>9.0909090909090912E-2</v>
      </c>
    </row>
    <row r="42" spans="1:18" ht="15.75" customHeight="1" x14ac:dyDescent="0.3">
      <c r="A42" s="7" t="s">
        <v>77</v>
      </c>
      <c r="B42" s="7" t="s">
        <v>52</v>
      </c>
      <c r="C42" s="24" t="s">
        <v>47</v>
      </c>
      <c r="D42" s="24" t="s">
        <v>53</v>
      </c>
      <c r="E42" s="8">
        <v>46037</v>
      </c>
      <c r="F42" s="8">
        <v>46047</v>
      </c>
      <c r="G42" s="9">
        <f t="shared" si="6"/>
        <v>11</v>
      </c>
      <c r="H42" s="10">
        <v>389</v>
      </c>
      <c r="I42" s="10">
        <v>113</v>
      </c>
      <c r="J42" s="10">
        <v>77</v>
      </c>
      <c r="K42" s="11">
        <f t="shared" si="0"/>
        <v>35.363636363636367</v>
      </c>
      <c r="L42" s="11">
        <f t="shared" si="1"/>
        <v>10.272727272727273</v>
      </c>
      <c r="M42" s="12">
        <f t="shared" si="2"/>
        <v>0.29048843187660667</v>
      </c>
      <c r="N42" s="11">
        <f t="shared" si="3"/>
        <v>7</v>
      </c>
      <c r="O42" s="12">
        <f t="shared" si="4"/>
        <v>0.68141592920353977</v>
      </c>
      <c r="P42" s="12">
        <f t="shared" si="5"/>
        <v>0.19794344473007713</v>
      </c>
      <c r="Q42" s="13">
        <f t="shared" si="9"/>
        <v>10.272727272727273</v>
      </c>
      <c r="R42" s="13">
        <f t="shared" si="10"/>
        <v>7.0000000000000009</v>
      </c>
    </row>
    <row r="43" spans="1:18" ht="15.75" customHeight="1" x14ac:dyDescent="0.3">
      <c r="A43" s="7" t="s">
        <v>77</v>
      </c>
      <c r="B43" s="7" t="s">
        <v>54</v>
      </c>
      <c r="C43" s="24" t="s">
        <v>47</v>
      </c>
      <c r="D43" s="24" t="s">
        <v>53</v>
      </c>
      <c r="E43" s="8">
        <v>46037</v>
      </c>
      <c r="F43" s="8">
        <v>46047</v>
      </c>
      <c r="G43" s="9">
        <f t="shared" si="6"/>
        <v>11</v>
      </c>
      <c r="H43" s="10">
        <v>431</v>
      </c>
      <c r="I43" s="10">
        <v>159</v>
      </c>
      <c r="J43" s="10">
        <v>127</v>
      </c>
      <c r="K43" s="11">
        <f t="shared" si="0"/>
        <v>39.18181818181818</v>
      </c>
      <c r="L43" s="11">
        <f t="shared" si="1"/>
        <v>14.454545454545455</v>
      </c>
      <c r="M43" s="12">
        <f t="shared" si="2"/>
        <v>0.36890951276102091</v>
      </c>
      <c r="N43" s="11">
        <f t="shared" si="3"/>
        <v>11.545454545454545</v>
      </c>
      <c r="O43" s="12">
        <f t="shared" si="4"/>
        <v>0.79874213836477992</v>
      </c>
      <c r="P43" s="12">
        <f t="shared" si="5"/>
        <v>0.29466357308584684</v>
      </c>
      <c r="Q43" s="13">
        <f t="shared" si="9"/>
        <v>14.454545454545455</v>
      </c>
      <c r="R43" s="13">
        <f t="shared" si="10"/>
        <v>11.545454545454543</v>
      </c>
    </row>
    <row r="44" spans="1:18" ht="15.75" customHeight="1" x14ac:dyDescent="0.3">
      <c r="A44" s="7" t="s">
        <v>77</v>
      </c>
      <c r="B44" s="7" t="s">
        <v>55</v>
      </c>
      <c r="C44" s="24" t="s">
        <v>47</v>
      </c>
      <c r="D44" s="24" t="s">
        <v>56</v>
      </c>
      <c r="E44" s="8">
        <v>46037</v>
      </c>
      <c r="F44" s="8">
        <v>46047</v>
      </c>
      <c r="G44" s="9">
        <f t="shared" si="6"/>
        <v>11</v>
      </c>
      <c r="H44" s="10">
        <v>390</v>
      </c>
      <c r="I44" s="10">
        <v>143</v>
      </c>
      <c r="J44" s="10">
        <v>106</v>
      </c>
      <c r="K44" s="11">
        <f t="shared" si="0"/>
        <v>35.454545454545453</v>
      </c>
      <c r="L44" s="11">
        <f t="shared" si="1"/>
        <v>13</v>
      </c>
      <c r="M44" s="12">
        <f t="shared" si="2"/>
        <v>0.36666666666666664</v>
      </c>
      <c r="N44" s="11">
        <f t="shared" si="3"/>
        <v>9.6363636363636367</v>
      </c>
      <c r="O44" s="12">
        <f t="shared" si="4"/>
        <v>0.74125874125874125</v>
      </c>
      <c r="P44" s="12">
        <f t="shared" si="5"/>
        <v>0.27179487179487177</v>
      </c>
      <c r="Q44" s="13">
        <f t="shared" si="9"/>
        <v>12.999999999999998</v>
      </c>
      <c r="R44" s="13">
        <f t="shared" si="10"/>
        <v>9.6363636363636349</v>
      </c>
    </row>
    <row r="45" spans="1:18" ht="15.75" customHeight="1" x14ac:dyDescent="0.3">
      <c r="A45" s="7" t="s">
        <v>77</v>
      </c>
      <c r="B45" s="7" t="s">
        <v>57</v>
      </c>
      <c r="C45" s="24" t="s">
        <v>58</v>
      </c>
      <c r="D45" s="24" t="s">
        <v>59</v>
      </c>
      <c r="E45" s="8">
        <v>46037</v>
      </c>
      <c r="F45" s="8">
        <v>46047</v>
      </c>
      <c r="G45" s="9">
        <f t="shared" si="6"/>
        <v>11</v>
      </c>
      <c r="H45" s="10">
        <v>15</v>
      </c>
      <c r="I45" s="10">
        <v>3</v>
      </c>
      <c r="J45" s="10">
        <v>0</v>
      </c>
      <c r="K45" s="11">
        <f t="shared" si="0"/>
        <v>1.3636363636363635</v>
      </c>
      <c r="L45" s="11">
        <f t="shared" si="1"/>
        <v>0.27272727272727271</v>
      </c>
      <c r="M45" s="12">
        <f t="shared" si="2"/>
        <v>0.2</v>
      </c>
      <c r="N45" s="11">
        <f t="shared" si="3"/>
        <v>0</v>
      </c>
      <c r="O45" s="12">
        <f t="shared" si="4"/>
        <v>0</v>
      </c>
      <c r="P45" s="12">
        <f t="shared" si="5"/>
        <v>0</v>
      </c>
      <c r="Q45" s="13">
        <f t="shared" si="9"/>
        <v>0.27272727272727271</v>
      </c>
      <c r="R45" s="13">
        <f t="shared" si="10"/>
        <v>0</v>
      </c>
    </row>
    <row r="46" spans="1:18" ht="15.75" customHeight="1" x14ac:dyDescent="0.3">
      <c r="A46" s="7" t="s">
        <v>77</v>
      </c>
      <c r="B46" s="7" t="s">
        <v>60</v>
      </c>
      <c r="C46" s="24" t="s">
        <v>58</v>
      </c>
      <c r="D46" s="24" t="s">
        <v>61</v>
      </c>
      <c r="E46" s="8">
        <v>46037</v>
      </c>
      <c r="F46" s="8">
        <v>46047</v>
      </c>
      <c r="G46" s="9">
        <f t="shared" si="6"/>
        <v>11</v>
      </c>
      <c r="H46" s="10">
        <v>858</v>
      </c>
      <c r="I46" s="10">
        <v>267</v>
      </c>
      <c r="J46" s="10">
        <v>171</v>
      </c>
      <c r="K46" s="11">
        <f t="shared" si="0"/>
        <v>78</v>
      </c>
      <c r="L46" s="11">
        <f t="shared" si="1"/>
        <v>24.272727272727273</v>
      </c>
      <c r="M46" s="12">
        <f t="shared" si="2"/>
        <v>0.3111888111888112</v>
      </c>
      <c r="N46" s="11">
        <f t="shared" si="3"/>
        <v>15.545454545454545</v>
      </c>
      <c r="O46" s="12">
        <f t="shared" si="4"/>
        <v>0.6404494382022472</v>
      </c>
      <c r="P46" s="12">
        <f t="shared" si="5"/>
        <v>0.1993006993006993</v>
      </c>
      <c r="Q46" s="13">
        <f t="shared" si="9"/>
        <v>24.272727272727273</v>
      </c>
      <c r="R46" s="13">
        <f t="shared" si="10"/>
        <v>15.545454545454545</v>
      </c>
    </row>
    <row r="47" spans="1:18" ht="15.75" customHeight="1" x14ac:dyDescent="0.3">
      <c r="A47" s="7" t="s">
        <v>77</v>
      </c>
      <c r="B47" s="7" t="s">
        <v>235</v>
      </c>
      <c r="C47" s="24" t="s">
        <v>58</v>
      </c>
      <c r="D47" s="24" t="s">
        <v>107</v>
      </c>
      <c r="E47" s="8">
        <v>46037</v>
      </c>
      <c r="F47" s="8">
        <v>46047</v>
      </c>
      <c r="G47" s="9">
        <f t="shared" si="6"/>
        <v>11</v>
      </c>
      <c r="H47" s="10">
        <v>191</v>
      </c>
      <c r="I47" s="10">
        <v>77</v>
      </c>
      <c r="J47" s="10">
        <v>60</v>
      </c>
      <c r="K47" s="11">
        <f t="shared" si="0"/>
        <v>17.363636363636363</v>
      </c>
      <c r="L47" s="11">
        <f t="shared" si="1"/>
        <v>7</v>
      </c>
      <c r="M47" s="12">
        <f t="shared" si="2"/>
        <v>0.40314136125654448</v>
      </c>
      <c r="N47" s="11">
        <f t="shared" si="3"/>
        <v>5.4545454545454541</v>
      </c>
      <c r="O47" s="12">
        <f t="shared" si="4"/>
        <v>0.77922077922077926</v>
      </c>
      <c r="P47" s="12">
        <f t="shared" si="5"/>
        <v>0.31413612565445026</v>
      </c>
      <c r="Q47" s="13">
        <f t="shared" si="9"/>
        <v>6.9999999999999991</v>
      </c>
      <c r="R47" s="13">
        <f t="shared" si="10"/>
        <v>5.4545454545454541</v>
      </c>
    </row>
    <row r="48" spans="1:18" ht="15.75" customHeight="1" x14ac:dyDescent="0.3">
      <c r="A48" s="7" t="s">
        <v>77</v>
      </c>
      <c r="B48" s="7" t="s">
        <v>300</v>
      </c>
      <c r="C48" s="24" t="s">
        <v>58</v>
      </c>
      <c r="D48" s="24" t="s">
        <v>103</v>
      </c>
      <c r="E48" s="8">
        <v>46037</v>
      </c>
      <c r="F48" s="8">
        <v>46047</v>
      </c>
      <c r="G48" s="9">
        <f t="shared" si="6"/>
        <v>11</v>
      </c>
      <c r="H48" s="10">
        <v>442</v>
      </c>
      <c r="I48" s="10">
        <v>76</v>
      </c>
      <c r="J48" s="10">
        <v>51</v>
      </c>
      <c r="K48" s="11">
        <f t="shared" si="0"/>
        <v>40.18181818181818</v>
      </c>
      <c r="L48" s="11">
        <f t="shared" si="1"/>
        <v>6.9090909090909092</v>
      </c>
      <c r="M48" s="12">
        <f t="shared" si="2"/>
        <v>0.17194570135746606</v>
      </c>
      <c r="N48" s="11">
        <f t="shared" si="3"/>
        <v>4.6363636363636367</v>
      </c>
      <c r="O48" s="12">
        <f t="shared" si="4"/>
        <v>0.67105263157894735</v>
      </c>
      <c r="P48" s="12">
        <f t="shared" si="5"/>
        <v>0.11538461538461539</v>
      </c>
      <c r="Q48" s="13">
        <f t="shared" si="9"/>
        <v>6.9090909090909092</v>
      </c>
      <c r="R48" s="13">
        <f t="shared" si="10"/>
        <v>4.6363636363636367</v>
      </c>
    </row>
    <row r="49" spans="1:18" ht="15.75" customHeight="1" x14ac:dyDescent="0.3">
      <c r="A49" s="7" t="s">
        <v>77</v>
      </c>
      <c r="B49" s="7" t="s">
        <v>62</v>
      </c>
      <c r="C49" s="24" t="s">
        <v>58</v>
      </c>
      <c r="D49" s="24" t="s">
        <v>441</v>
      </c>
      <c r="E49" s="8">
        <v>46037</v>
      </c>
      <c r="F49" s="8">
        <v>46047</v>
      </c>
      <c r="G49" s="9">
        <f t="shared" si="6"/>
        <v>11</v>
      </c>
      <c r="H49" s="10">
        <v>49</v>
      </c>
      <c r="I49" s="10">
        <v>22</v>
      </c>
      <c r="J49" s="10">
        <v>11</v>
      </c>
      <c r="K49" s="11">
        <f t="shared" si="0"/>
        <v>4.4545454545454541</v>
      </c>
      <c r="L49" s="11">
        <f t="shared" si="1"/>
        <v>2</v>
      </c>
      <c r="M49" s="12">
        <f t="shared" si="2"/>
        <v>0.44897959183673469</v>
      </c>
      <c r="N49" s="11">
        <f t="shared" si="3"/>
        <v>1</v>
      </c>
      <c r="O49" s="12">
        <f t="shared" si="4"/>
        <v>0.5</v>
      </c>
      <c r="P49" s="12">
        <f t="shared" si="5"/>
        <v>0.22448979591836735</v>
      </c>
      <c r="Q49" s="13">
        <f t="shared" si="9"/>
        <v>1.9999999999999998</v>
      </c>
      <c r="R49" s="13">
        <f t="shared" si="10"/>
        <v>0.99999999999999989</v>
      </c>
    </row>
    <row r="50" spans="1:18" ht="15.75" customHeight="1" x14ac:dyDescent="0.3">
      <c r="A50" s="7" t="s">
        <v>77</v>
      </c>
      <c r="B50" s="7" t="s">
        <v>223</v>
      </c>
      <c r="C50" s="24" t="s">
        <v>58</v>
      </c>
      <c r="D50" s="24" t="s">
        <v>64</v>
      </c>
      <c r="E50" s="8">
        <v>46037</v>
      </c>
      <c r="F50" s="8">
        <v>46047</v>
      </c>
      <c r="G50" s="9">
        <f t="shared" si="6"/>
        <v>11</v>
      </c>
      <c r="H50" s="10">
        <v>56</v>
      </c>
      <c r="I50" s="10">
        <v>16</v>
      </c>
      <c r="J50" s="10">
        <v>14</v>
      </c>
      <c r="K50" s="11">
        <f t="shared" si="0"/>
        <v>5.0909090909090908</v>
      </c>
      <c r="L50" s="11">
        <f t="shared" si="1"/>
        <v>1.4545454545454546</v>
      </c>
      <c r="M50" s="12">
        <f t="shared" si="2"/>
        <v>0.2857142857142857</v>
      </c>
      <c r="N50" s="11">
        <f t="shared" si="3"/>
        <v>1.2727272727272727</v>
      </c>
      <c r="O50" s="12">
        <f t="shared" si="4"/>
        <v>0.875</v>
      </c>
      <c r="P50" s="12">
        <f t="shared" si="5"/>
        <v>0.25</v>
      </c>
      <c r="Q50" s="13">
        <f t="shared" si="9"/>
        <v>1.4545454545454544</v>
      </c>
      <c r="R50" s="13">
        <f t="shared" si="10"/>
        <v>1.2727272727272727</v>
      </c>
    </row>
    <row r="51" spans="1:18" ht="15.75" customHeight="1" x14ac:dyDescent="0.3">
      <c r="A51" s="7" t="s">
        <v>77</v>
      </c>
      <c r="B51" s="7" t="s">
        <v>65</v>
      </c>
      <c r="C51" s="24" t="s">
        <v>58</v>
      </c>
      <c r="D51" s="24" t="s">
        <v>66</v>
      </c>
      <c r="E51" s="8">
        <v>46037</v>
      </c>
      <c r="F51" s="8">
        <v>46047</v>
      </c>
      <c r="G51" s="9">
        <f t="shared" si="6"/>
        <v>11</v>
      </c>
      <c r="H51" s="10">
        <v>184</v>
      </c>
      <c r="I51" s="10">
        <v>73</v>
      </c>
      <c r="J51" s="10">
        <v>39</v>
      </c>
      <c r="K51" s="11">
        <f t="shared" si="0"/>
        <v>16.727272727272727</v>
      </c>
      <c r="L51" s="11">
        <f t="shared" si="1"/>
        <v>6.6363636363636367</v>
      </c>
      <c r="M51" s="12">
        <f t="shared" si="2"/>
        <v>0.39673913043478259</v>
      </c>
      <c r="N51" s="11">
        <f t="shared" si="3"/>
        <v>3.5454545454545454</v>
      </c>
      <c r="O51" s="12">
        <f t="shared" si="4"/>
        <v>0.53424657534246578</v>
      </c>
      <c r="P51" s="12">
        <f t="shared" si="5"/>
        <v>0.21195652173913043</v>
      </c>
      <c r="Q51" s="13">
        <f t="shared" si="9"/>
        <v>6.6363636363636358</v>
      </c>
      <c r="R51" s="13">
        <f t="shared" si="10"/>
        <v>3.5454545454545454</v>
      </c>
    </row>
    <row r="52" spans="1:18" ht="15.75" customHeight="1" x14ac:dyDescent="0.3">
      <c r="A52" s="7" t="s">
        <v>77</v>
      </c>
      <c r="B52" s="7" t="s">
        <v>67</v>
      </c>
      <c r="C52" s="24" t="s">
        <v>58</v>
      </c>
      <c r="D52" s="24" t="s">
        <v>68</v>
      </c>
      <c r="E52" s="8">
        <v>46037</v>
      </c>
      <c r="F52" s="8">
        <v>46047</v>
      </c>
      <c r="G52" s="9">
        <f t="shared" si="6"/>
        <v>11</v>
      </c>
      <c r="H52" s="10">
        <v>10</v>
      </c>
      <c r="I52" s="10">
        <v>6</v>
      </c>
      <c r="J52" s="10">
        <v>5</v>
      </c>
      <c r="K52" s="11">
        <f t="shared" si="0"/>
        <v>0.90909090909090906</v>
      </c>
      <c r="L52" s="11">
        <f t="shared" si="1"/>
        <v>0.54545454545454541</v>
      </c>
      <c r="M52" s="12">
        <f t="shared" si="2"/>
        <v>0.6</v>
      </c>
      <c r="N52" s="11">
        <f t="shared" si="3"/>
        <v>0.45454545454545453</v>
      </c>
      <c r="O52" s="12">
        <f t="shared" si="4"/>
        <v>0.83333333333333337</v>
      </c>
      <c r="P52" s="12">
        <f t="shared" si="5"/>
        <v>0.5</v>
      </c>
      <c r="Q52" s="13">
        <f t="shared" si="9"/>
        <v>0.54545454545454541</v>
      </c>
      <c r="R52" s="13">
        <f t="shared" si="10"/>
        <v>0.45454545454545453</v>
      </c>
    </row>
    <row r="53" spans="1:18" ht="15.75" customHeight="1" x14ac:dyDescent="0.3">
      <c r="A53" s="7" t="s">
        <v>77</v>
      </c>
      <c r="B53" s="7" t="s">
        <v>69</v>
      </c>
      <c r="C53" s="24" t="s">
        <v>58</v>
      </c>
      <c r="D53" s="24" t="s">
        <v>66</v>
      </c>
      <c r="E53" s="8">
        <v>46037</v>
      </c>
      <c r="F53" s="8">
        <v>46047</v>
      </c>
      <c r="G53" s="9">
        <f t="shared" si="6"/>
        <v>11</v>
      </c>
      <c r="H53" s="10">
        <v>445</v>
      </c>
      <c r="I53" s="10">
        <v>157</v>
      </c>
      <c r="J53" s="10">
        <v>75</v>
      </c>
      <c r="K53" s="11">
        <f t="shared" si="0"/>
        <v>40.454545454545453</v>
      </c>
      <c r="L53" s="11">
        <f t="shared" si="1"/>
        <v>14.272727272727273</v>
      </c>
      <c r="M53" s="12">
        <f t="shared" si="2"/>
        <v>0.35280898876404493</v>
      </c>
      <c r="N53" s="11">
        <f t="shared" si="3"/>
        <v>6.8181818181818183</v>
      </c>
      <c r="O53" s="12">
        <f t="shared" si="4"/>
        <v>0.47770700636942676</v>
      </c>
      <c r="P53" s="12">
        <f t="shared" si="5"/>
        <v>0.16853932584269662</v>
      </c>
      <c r="Q53" s="13">
        <f t="shared" si="9"/>
        <v>14.272727272727272</v>
      </c>
      <c r="R53" s="13">
        <f t="shared" si="10"/>
        <v>6.8181818181818175</v>
      </c>
    </row>
    <row r="54" spans="1:18" ht="15.75" customHeight="1" x14ac:dyDescent="0.3">
      <c r="A54" s="7" t="s">
        <v>77</v>
      </c>
      <c r="B54" s="7" t="s">
        <v>70</v>
      </c>
      <c r="C54" s="24" t="s">
        <v>58</v>
      </c>
      <c r="D54" s="24" t="s">
        <v>68</v>
      </c>
      <c r="E54" s="8">
        <v>46037</v>
      </c>
      <c r="F54" s="8">
        <v>46047</v>
      </c>
      <c r="G54" s="9">
        <f t="shared" si="6"/>
        <v>11</v>
      </c>
      <c r="H54" s="10">
        <v>47</v>
      </c>
      <c r="I54" s="10">
        <v>24</v>
      </c>
      <c r="J54" s="10">
        <v>17</v>
      </c>
      <c r="K54" s="11">
        <f t="shared" si="0"/>
        <v>4.2727272727272725</v>
      </c>
      <c r="L54" s="11">
        <f t="shared" si="1"/>
        <v>2.1818181818181817</v>
      </c>
      <c r="M54" s="12">
        <f t="shared" si="2"/>
        <v>0.51063829787234039</v>
      </c>
      <c r="N54" s="11">
        <f t="shared" si="3"/>
        <v>1.5454545454545454</v>
      </c>
      <c r="O54" s="12">
        <f t="shared" si="4"/>
        <v>0.70833333333333337</v>
      </c>
      <c r="P54" s="12">
        <f t="shared" si="5"/>
        <v>0.36170212765957449</v>
      </c>
      <c r="Q54" s="13">
        <f t="shared" si="9"/>
        <v>2.1818181818181817</v>
      </c>
      <c r="R54" s="13">
        <f t="shared" si="10"/>
        <v>1.5454545454545454</v>
      </c>
    </row>
    <row r="55" spans="1:18" ht="15.75" customHeight="1" x14ac:dyDescent="0.3">
      <c r="A55" s="7" t="s">
        <v>77</v>
      </c>
      <c r="B55" s="7" t="s">
        <v>71</v>
      </c>
      <c r="C55" s="24" t="s">
        <v>58</v>
      </c>
      <c r="D55" s="24" t="s">
        <v>66</v>
      </c>
      <c r="E55" s="8">
        <v>46037</v>
      </c>
      <c r="F55" s="8">
        <v>46047</v>
      </c>
      <c r="G55" s="9">
        <f t="shared" si="6"/>
        <v>11</v>
      </c>
      <c r="H55" s="10">
        <v>49</v>
      </c>
      <c r="I55" s="10">
        <v>17</v>
      </c>
      <c r="J55" s="10">
        <v>9</v>
      </c>
      <c r="K55" s="11">
        <f t="shared" si="0"/>
        <v>4.4545454545454541</v>
      </c>
      <c r="L55" s="11">
        <f t="shared" si="1"/>
        <v>1.5454545454545454</v>
      </c>
      <c r="M55" s="12">
        <f t="shared" si="2"/>
        <v>0.34693877551020408</v>
      </c>
      <c r="N55" s="11">
        <f t="shared" si="3"/>
        <v>0.81818181818181823</v>
      </c>
      <c r="O55" s="12">
        <f t="shared" si="4"/>
        <v>0.52941176470588236</v>
      </c>
      <c r="P55" s="12">
        <f t="shared" si="5"/>
        <v>0.18367346938775511</v>
      </c>
      <c r="Q55" s="13">
        <f t="shared" si="9"/>
        <v>1.5454545454545452</v>
      </c>
      <c r="R55" s="13">
        <f t="shared" si="10"/>
        <v>0.81818181818181812</v>
      </c>
    </row>
    <row r="56" spans="1:18" ht="15.75" customHeight="1" x14ac:dyDescent="0.3">
      <c r="A56" s="7" t="s">
        <v>77</v>
      </c>
      <c r="B56" s="7" t="s">
        <v>72</v>
      </c>
      <c r="C56" s="24" t="s">
        <v>58</v>
      </c>
      <c r="D56" s="24" t="s">
        <v>68</v>
      </c>
      <c r="E56" s="8">
        <v>46037</v>
      </c>
      <c r="F56" s="8">
        <v>46047</v>
      </c>
      <c r="G56" s="9">
        <f t="shared" si="6"/>
        <v>11</v>
      </c>
      <c r="H56" s="10">
        <v>16</v>
      </c>
      <c r="I56" s="10">
        <v>9</v>
      </c>
      <c r="J56" s="10">
        <v>5</v>
      </c>
      <c r="K56" s="11">
        <f t="shared" si="0"/>
        <v>1.4545454545454546</v>
      </c>
      <c r="L56" s="11">
        <f t="shared" si="1"/>
        <v>0.81818181818181823</v>
      </c>
      <c r="M56" s="12">
        <f t="shared" si="2"/>
        <v>0.5625</v>
      </c>
      <c r="N56" s="11">
        <f t="shared" si="3"/>
        <v>0.45454545454545453</v>
      </c>
      <c r="O56" s="12">
        <f t="shared" si="4"/>
        <v>0.55555555555555558</v>
      </c>
      <c r="P56" s="12">
        <f t="shared" si="5"/>
        <v>0.3125</v>
      </c>
      <c r="Q56" s="13">
        <f t="shared" si="9"/>
        <v>0.81818181818181823</v>
      </c>
      <c r="R56" s="13">
        <f t="shared" si="10"/>
        <v>0.45454545454545459</v>
      </c>
    </row>
    <row r="57" spans="1:18" ht="15.75" customHeight="1" x14ac:dyDescent="0.3">
      <c r="A57" s="7" t="s">
        <v>77</v>
      </c>
      <c r="B57" s="7" t="s">
        <v>73</v>
      </c>
      <c r="C57" s="24" t="s">
        <v>58</v>
      </c>
      <c r="D57" s="24" t="s">
        <v>74</v>
      </c>
      <c r="E57" s="8">
        <v>46037</v>
      </c>
      <c r="F57" s="8">
        <v>46047</v>
      </c>
      <c r="G57" s="9">
        <f t="shared" si="6"/>
        <v>11</v>
      </c>
      <c r="H57" s="10">
        <v>234</v>
      </c>
      <c r="I57" s="10">
        <v>84</v>
      </c>
      <c r="J57" s="10">
        <v>47</v>
      </c>
      <c r="K57" s="11">
        <f t="shared" si="0"/>
        <v>21.272727272727273</v>
      </c>
      <c r="L57" s="11">
        <f t="shared" si="1"/>
        <v>7.6363636363636367</v>
      </c>
      <c r="M57" s="12">
        <f t="shared" si="2"/>
        <v>0.35897435897435898</v>
      </c>
      <c r="N57" s="11">
        <f t="shared" si="3"/>
        <v>4.2727272727272725</v>
      </c>
      <c r="O57" s="12">
        <f t="shared" si="4"/>
        <v>0.55952380952380953</v>
      </c>
      <c r="P57" s="12">
        <f t="shared" si="5"/>
        <v>0.20085470085470086</v>
      </c>
      <c r="Q57" s="13">
        <f t="shared" si="9"/>
        <v>7.6363636363636367</v>
      </c>
      <c r="R57" s="13">
        <f t="shared" si="10"/>
        <v>4.2727272727272734</v>
      </c>
    </row>
    <row r="58" spans="1:18" ht="15.75" customHeight="1" x14ac:dyDescent="0.3">
      <c r="A58" s="7" t="s">
        <v>77</v>
      </c>
      <c r="B58" s="7" t="s">
        <v>75</v>
      </c>
      <c r="C58" s="24" t="s">
        <v>58</v>
      </c>
      <c r="D58" s="24" t="s">
        <v>74</v>
      </c>
      <c r="E58" s="8">
        <v>46037</v>
      </c>
      <c r="F58" s="8">
        <v>46047</v>
      </c>
      <c r="G58" s="9">
        <f t="shared" si="6"/>
        <v>11</v>
      </c>
      <c r="H58" s="10">
        <v>61</v>
      </c>
      <c r="I58" s="10">
        <v>28</v>
      </c>
      <c r="J58" s="10">
        <v>17</v>
      </c>
      <c r="K58" s="11">
        <f t="shared" si="0"/>
        <v>5.5454545454545459</v>
      </c>
      <c r="L58" s="11">
        <f t="shared" si="1"/>
        <v>2.5454545454545454</v>
      </c>
      <c r="M58" s="12">
        <f t="shared" si="2"/>
        <v>0.45901639344262296</v>
      </c>
      <c r="N58" s="11">
        <f t="shared" si="3"/>
        <v>1.5454545454545454</v>
      </c>
      <c r="O58" s="12">
        <f t="shared" si="4"/>
        <v>0.6071428571428571</v>
      </c>
      <c r="P58" s="12">
        <f t="shared" si="5"/>
        <v>0.27868852459016391</v>
      </c>
      <c r="Q58" s="13">
        <f t="shared" si="9"/>
        <v>2.5454545454545459</v>
      </c>
      <c r="R58" s="13">
        <f t="shared" si="10"/>
        <v>1.5454545454545454</v>
      </c>
    </row>
    <row r="59" spans="1:18" ht="15.75" customHeight="1" x14ac:dyDescent="0.3">
      <c r="A59" s="7" t="s">
        <v>77</v>
      </c>
      <c r="B59" s="7" t="s">
        <v>180</v>
      </c>
      <c r="C59" s="24" t="s">
        <v>58</v>
      </c>
      <c r="D59" s="24" t="s">
        <v>59</v>
      </c>
      <c r="E59" s="8">
        <v>46037</v>
      </c>
      <c r="F59" s="8">
        <v>46047</v>
      </c>
      <c r="G59" s="9">
        <f t="shared" si="6"/>
        <v>11</v>
      </c>
      <c r="H59" s="10">
        <v>291</v>
      </c>
      <c r="I59" s="10">
        <v>121</v>
      </c>
      <c r="J59" s="10">
        <v>89</v>
      </c>
      <c r="K59" s="11">
        <f t="shared" si="0"/>
        <v>26.454545454545453</v>
      </c>
      <c r="L59" s="11">
        <f t="shared" si="1"/>
        <v>11</v>
      </c>
      <c r="M59" s="12">
        <f t="shared" si="2"/>
        <v>0.41580756013745707</v>
      </c>
      <c r="N59" s="11">
        <f t="shared" si="3"/>
        <v>8.0909090909090917</v>
      </c>
      <c r="O59" s="12">
        <f t="shared" si="4"/>
        <v>0.73553719008264462</v>
      </c>
      <c r="P59" s="12">
        <f t="shared" si="5"/>
        <v>0.30584192439862545</v>
      </c>
      <c r="Q59" s="13">
        <f t="shared" si="9"/>
        <v>11</v>
      </c>
      <c r="R59" s="13">
        <f t="shared" si="10"/>
        <v>8.0909090909090917</v>
      </c>
    </row>
    <row r="60" spans="1:18" ht="15.75" customHeight="1" x14ac:dyDescent="0.3">
      <c r="A60" s="7" t="s">
        <v>88</v>
      </c>
      <c r="B60" s="7" t="s">
        <v>46</v>
      </c>
      <c r="C60" s="24" t="s">
        <v>47</v>
      </c>
      <c r="D60" s="24" t="s">
        <v>48</v>
      </c>
      <c r="E60" s="8">
        <v>46048</v>
      </c>
      <c r="F60" s="8">
        <v>46053</v>
      </c>
      <c r="G60" s="9">
        <f t="shared" si="6"/>
        <v>6</v>
      </c>
      <c r="H60" s="10">
        <v>1129</v>
      </c>
      <c r="I60" s="10">
        <v>337</v>
      </c>
      <c r="J60" s="10">
        <v>226</v>
      </c>
      <c r="K60" s="11">
        <f t="shared" si="0"/>
        <v>188.16666666666666</v>
      </c>
      <c r="L60" s="11">
        <f t="shared" si="1"/>
        <v>56.166666666666664</v>
      </c>
      <c r="M60" s="12">
        <f t="shared" si="2"/>
        <v>0.29849424269264835</v>
      </c>
      <c r="N60" s="11">
        <f t="shared" si="3"/>
        <v>37.666666666666664</v>
      </c>
      <c r="O60" s="12">
        <f t="shared" si="4"/>
        <v>0.67062314540059342</v>
      </c>
      <c r="P60" s="12">
        <f t="shared" si="5"/>
        <v>0.20017714791851196</v>
      </c>
    </row>
    <row r="61" spans="1:18" ht="15.75" customHeight="1" x14ac:dyDescent="0.3">
      <c r="A61" s="7" t="s">
        <v>88</v>
      </c>
      <c r="B61" s="7" t="s">
        <v>49</v>
      </c>
      <c r="C61" s="24" t="s">
        <v>47</v>
      </c>
      <c r="D61" s="24" t="s">
        <v>48</v>
      </c>
      <c r="E61" s="8">
        <v>46048</v>
      </c>
      <c r="F61" s="8">
        <v>46053</v>
      </c>
      <c r="G61" s="9">
        <f t="shared" si="6"/>
        <v>6</v>
      </c>
      <c r="H61" s="10">
        <v>26</v>
      </c>
      <c r="I61" s="10">
        <v>6</v>
      </c>
      <c r="J61" s="10">
        <v>3</v>
      </c>
      <c r="K61" s="11">
        <f t="shared" si="0"/>
        <v>4.333333333333333</v>
      </c>
      <c r="L61" s="11">
        <f t="shared" si="1"/>
        <v>1</v>
      </c>
      <c r="M61" s="12">
        <f t="shared" si="2"/>
        <v>0.23076923076923078</v>
      </c>
      <c r="N61" s="11">
        <f t="shared" si="3"/>
        <v>0.5</v>
      </c>
      <c r="O61" s="12">
        <f t="shared" si="4"/>
        <v>0.5</v>
      </c>
      <c r="P61" s="12">
        <f t="shared" si="5"/>
        <v>0.11538461538461539</v>
      </c>
      <c r="Q61" s="13">
        <f>IFERROR((I61/H61)*K61,"")</f>
        <v>1</v>
      </c>
      <c r="R61" s="13">
        <f>IFERROR((J61/H61)*K61,"")</f>
        <v>0.5</v>
      </c>
    </row>
    <row r="62" spans="1:18" ht="15.75" customHeight="1" x14ac:dyDescent="0.3">
      <c r="A62" s="7" t="s">
        <v>88</v>
      </c>
      <c r="B62" s="7" t="s">
        <v>50</v>
      </c>
      <c r="C62" s="24" t="s">
        <v>47</v>
      </c>
      <c r="D62" s="24" t="s">
        <v>48</v>
      </c>
      <c r="E62" s="8">
        <v>46048</v>
      </c>
      <c r="F62" s="8">
        <v>46053</v>
      </c>
      <c r="G62" s="9">
        <f t="shared" si="6"/>
        <v>6</v>
      </c>
      <c r="H62" s="10">
        <v>398</v>
      </c>
      <c r="I62" s="10">
        <v>85</v>
      </c>
      <c r="J62" s="10">
        <v>68</v>
      </c>
      <c r="K62" s="11">
        <f t="shared" si="0"/>
        <v>66.333333333333329</v>
      </c>
      <c r="L62" s="11">
        <f t="shared" si="1"/>
        <v>14.166666666666666</v>
      </c>
      <c r="M62" s="12">
        <f t="shared" si="2"/>
        <v>0.21356783919597991</v>
      </c>
      <c r="N62" s="11">
        <f t="shared" si="3"/>
        <v>11.333333333333334</v>
      </c>
      <c r="O62" s="12">
        <f t="shared" si="4"/>
        <v>0.8</v>
      </c>
      <c r="P62" s="12">
        <f t="shared" si="5"/>
        <v>0.17085427135678391</v>
      </c>
      <c r="Q62" s="13">
        <f>IFERROR((I62/H62)*K62,"")</f>
        <v>14.166666666666666</v>
      </c>
      <c r="R62" s="13">
        <f>IFERROR((J62/H62)*K62,"")</f>
        <v>11.333333333333332</v>
      </c>
    </row>
    <row r="63" spans="1:18" ht="15.75" customHeight="1" x14ac:dyDescent="0.3">
      <c r="A63" s="7" t="s">
        <v>88</v>
      </c>
      <c r="B63" s="7" t="s">
        <v>51</v>
      </c>
      <c r="C63" s="24" t="s">
        <v>47</v>
      </c>
      <c r="D63" s="24" t="s">
        <v>48</v>
      </c>
      <c r="E63" s="8">
        <v>46048</v>
      </c>
      <c r="F63" s="8">
        <v>46053</v>
      </c>
      <c r="G63" s="9">
        <f t="shared" si="6"/>
        <v>6</v>
      </c>
      <c r="H63" s="10">
        <v>25</v>
      </c>
      <c r="I63" s="10">
        <v>2</v>
      </c>
      <c r="J63" s="10">
        <v>2</v>
      </c>
      <c r="K63" s="11">
        <f t="shared" si="0"/>
        <v>4.166666666666667</v>
      </c>
      <c r="L63" s="11">
        <f t="shared" si="1"/>
        <v>0.33333333333333331</v>
      </c>
      <c r="M63" s="12">
        <f t="shared" si="2"/>
        <v>0.08</v>
      </c>
      <c r="N63" s="11">
        <f t="shared" si="3"/>
        <v>0.33333333333333331</v>
      </c>
      <c r="O63" s="12">
        <f t="shared" si="4"/>
        <v>1</v>
      </c>
      <c r="P63" s="12">
        <f t="shared" si="5"/>
        <v>0.08</v>
      </c>
    </row>
    <row r="64" spans="1:18" ht="15.75" customHeight="1" x14ac:dyDescent="0.3">
      <c r="A64" s="7" t="s">
        <v>88</v>
      </c>
      <c r="B64" s="7" t="s">
        <v>52</v>
      </c>
      <c r="C64" s="24" t="s">
        <v>47</v>
      </c>
      <c r="D64" s="24" t="s">
        <v>53</v>
      </c>
      <c r="E64" s="8">
        <v>46048</v>
      </c>
      <c r="F64" s="8">
        <v>46053</v>
      </c>
      <c r="G64" s="9">
        <f t="shared" si="6"/>
        <v>6</v>
      </c>
      <c r="H64" s="10">
        <v>190</v>
      </c>
      <c r="I64" s="10">
        <v>80</v>
      </c>
      <c r="J64" s="10">
        <v>56</v>
      </c>
      <c r="K64" s="11">
        <f t="shared" si="0"/>
        <v>31.666666666666668</v>
      </c>
      <c r="L64" s="11">
        <f t="shared" si="1"/>
        <v>13.333333333333334</v>
      </c>
      <c r="M64" s="12">
        <f t="shared" si="2"/>
        <v>0.42105263157894735</v>
      </c>
      <c r="N64" s="11">
        <f t="shared" si="3"/>
        <v>9.3333333333333339</v>
      </c>
      <c r="O64" s="12">
        <f t="shared" si="4"/>
        <v>0.7</v>
      </c>
      <c r="P64" s="12">
        <f t="shared" si="5"/>
        <v>0.29473684210526313</v>
      </c>
      <c r="Q64" s="13">
        <f t="shared" ref="Q64:Q72" si="11">IFERROR((I64/H64)*K64,"")</f>
        <v>13.333333333333334</v>
      </c>
      <c r="R64" s="13">
        <f t="shared" ref="R64:R72" si="12">IFERROR((J64/H64)*K64,"")</f>
        <v>9.3333333333333321</v>
      </c>
    </row>
    <row r="65" spans="1:18" ht="15.75" customHeight="1" x14ac:dyDescent="0.3">
      <c r="A65" s="7" t="s">
        <v>88</v>
      </c>
      <c r="B65" s="7" t="s">
        <v>54</v>
      </c>
      <c r="C65" s="24" t="s">
        <v>47</v>
      </c>
      <c r="D65" s="24" t="s">
        <v>53</v>
      </c>
      <c r="E65" s="8">
        <v>46048</v>
      </c>
      <c r="F65" s="8">
        <v>46053</v>
      </c>
      <c r="G65" s="9">
        <f t="shared" si="6"/>
        <v>6</v>
      </c>
      <c r="H65" s="10">
        <v>340</v>
      </c>
      <c r="I65" s="10">
        <v>124</v>
      </c>
      <c r="J65" s="10">
        <v>80</v>
      </c>
      <c r="K65" s="11">
        <f t="shared" si="0"/>
        <v>56.666666666666664</v>
      </c>
      <c r="L65" s="11">
        <f t="shared" si="1"/>
        <v>20.666666666666668</v>
      </c>
      <c r="M65" s="12">
        <f t="shared" si="2"/>
        <v>0.36470588235294116</v>
      </c>
      <c r="N65" s="11">
        <f t="shared" si="3"/>
        <v>13.333333333333334</v>
      </c>
      <c r="O65" s="12">
        <f t="shared" si="4"/>
        <v>0.64516129032258063</v>
      </c>
      <c r="P65" s="12">
        <f t="shared" si="5"/>
        <v>0.23529411764705882</v>
      </c>
      <c r="Q65" s="13">
        <f t="shared" si="11"/>
        <v>20.666666666666664</v>
      </c>
      <c r="R65" s="13">
        <f t="shared" si="12"/>
        <v>13.333333333333332</v>
      </c>
    </row>
    <row r="66" spans="1:18" ht="15.75" customHeight="1" x14ac:dyDescent="0.3">
      <c r="A66" s="7" t="s">
        <v>88</v>
      </c>
      <c r="B66" s="7" t="s">
        <v>55</v>
      </c>
      <c r="C66" s="24" t="s">
        <v>47</v>
      </c>
      <c r="D66" s="24" t="s">
        <v>56</v>
      </c>
      <c r="E66" s="8">
        <v>46048</v>
      </c>
      <c r="F66" s="8">
        <v>46053</v>
      </c>
      <c r="G66" s="9">
        <f t="shared" si="6"/>
        <v>6</v>
      </c>
      <c r="H66" s="10">
        <v>195</v>
      </c>
      <c r="I66" s="10">
        <v>85</v>
      </c>
      <c r="J66" s="10">
        <v>59</v>
      </c>
      <c r="K66" s="11">
        <f t="shared" si="0"/>
        <v>32.5</v>
      </c>
      <c r="L66" s="11">
        <f t="shared" si="1"/>
        <v>14.166666666666666</v>
      </c>
      <c r="M66" s="12">
        <f t="shared" si="2"/>
        <v>0.4358974358974359</v>
      </c>
      <c r="N66" s="11">
        <f t="shared" si="3"/>
        <v>9.8333333333333339</v>
      </c>
      <c r="O66" s="12">
        <f t="shared" si="4"/>
        <v>0.69411764705882351</v>
      </c>
      <c r="P66" s="12">
        <f t="shared" si="5"/>
        <v>0.30256410256410254</v>
      </c>
      <c r="Q66" s="13">
        <f t="shared" si="11"/>
        <v>14.166666666666666</v>
      </c>
      <c r="R66" s="13">
        <f t="shared" si="12"/>
        <v>9.8333333333333321</v>
      </c>
    </row>
    <row r="67" spans="1:18" ht="15.75" customHeight="1" x14ac:dyDescent="0.3">
      <c r="A67" s="7" t="s">
        <v>88</v>
      </c>
      <c r="B67" s="7" t="s">
        <v>57</v>
      </c>
      <c r="C67" s="24" t="s">
        <v>58</v>
      </c>
      <c r="D67" s="24" t="s">
        <v>59</v>
      </c>
      <c r="E67" s="8">
        <v>46048</v>
      </c>
      <c r="F67" s="8">
        <v>46053</v>
      </c>
      <c r="G67" s="9">
        <f t="shared" si="6"/>
        <v>6</v>
      </c>
      <c r="H67" s="10">
        <v>13</v>
      </c>
      <c r="I67" s="10">
        <v>2</v>
      </c>
      <c r="J67" s="10">
        <v>1</v>
      </c>
      <c r="K67" s="11">
        <f t="shared" ref="K67:K130" si="13">IFERROR(H67/G67,"")</f>
        <v>2.1666666666666665</v>
      </c>
      <c r="L67" s="11">
        <f t="shared" ref="L67:L130" si="14">IFERROR(I67/G67,"")</f>
        <v>0.33333333333333331</v>
      </c>
      <c r="M67" s="12">
        <f t="shared" ref="M67:M130" si="15">IFERROR(I67/H67,"")</f>
        <v>0.15384615384615385</v>
      </c>
      <c r="N67" s="11">
        <f t="shared" ref="N67:N130" si="16">IFERROR(J67/G67,"")</f>
        <v>0.16666666666666666</v>
      </c>
      <c r="O67" s="12">
        <f t="shared" ref="O67:O130" si="17">IFERROR(J67/I67,"")</f>
        <v>0.5</v>
      </c>
      <c r="P67" s="12">
        <f t="shared" ref="P67:P130" si="18">IFERROR(J67/H67,"")</f>
        <v>7.6923076923076927E-2</v>
      </c>
      <c r="Q67" s="13">
        <f t="shared" si="11"/>
        <v>0.33333333333333331</v>
      </c>
      <c r="R67" s="13">
        <f t="shared" si="12"/>
        <v>0.16666666666666666</v>
      </c>
    </row>
    <row r="68" spans="1:18" ht="15.75" customHeight="1" x14ac:dyDescent="0.3">
      <c r="A68" s="7" t="s">
        <v>88</v>
      </c>
      <c r="B68" s="7" t="s">
        <v>60</v>
      </c>
      <c r="C68" s="24" t="s">
        <v>58</v>
      </c>
      <c r="D68" s="24" t="s">
        <v>61</v>
      </c>
      <c r="E68" s="8">
        <v>46048</v>
      </c>
      <c r="F68" s="8">
        <v>46053</v>
      </c>
      <c r="G68" s="9">
        <f t="shared" ref="G68:G131" si="19">F68-E68+1</f>
        <v>6</v>
      </c>
      <c r="H68" s="10">
        <v>496</v>
      </c>
      <c r="I68" s="10">
        <v>149</v>
      </c>
      <c r="J68" s="10">
        <v>95</v>
      </c>
      <c r="K68" s="11">
        <f t="shared" si="13"/>
        <v>82.666666666666671</v>
      </c>
      <c r="L68" s="11">
        <f t="shared" si="14"/>
        <v>24.833333333333332</v>
      </c>
      <c r="M68" s="12">
        <f t="shared" si="15"/>
        <v>0.30040322580645162</v>
      </c>
      <c r="N68" s="11">
        <f t="shared" si="16"/>
        <v>15.833333333333334</v>
      </c>
      <c r="O68" s="12">
        <f t="shared" si="17"/>
        <v>0.63758389261744963</v>
      </c>
      <c r="P68" s="12">
        <f t="shared" si="18"/>
        <v>0.19153225806451613</v>
      </c>
      <c r="Q68" s="13">
        <f t="shared" si="11"/>
        <v>24.833333333333336</v>
      </c>
      <c r="R68" s="13">
        <f t="shared" si="12"/>
        <v>15.833333333333334</v>
      </c>
    </row>
    <row r="69" spans="1:18" ht="15.75" customHeight="1" x14ac:dyDescent="0.3">
      <c r="A69" s="7" t="s">
        <v>88</v>
      </c>
      <c r="B69" s="7" t="s">
        <v>235</v>
      </c>
      <c r="C69" s="24" t="s">
        <v>58</v>
      </c>
      <c r="D69" s="24" t="s">
        <v>107</v>
      </c>
      <c r="E69" s="8">
        <v>46048</v>
      </c>
      <c r="F69" s="8">
        <v>46053</v>
      </c>
      <c r="G69" s="9">
        <f t="shared" si="19"/>
        <v>6</v>
      </c>
      <c r="H69" s="10">
        <v>144</v>
      </c>
      <c r="I69" s="10">
        <v>62</v>
      </c>
      <c r="J69" s="10">
        <v>43</v>
      </c>
      <c r="K69" s="11">
        <f t="shared" si="13"/>
        <v>24</v>
      </c>
      <c r="L69" s="11">
        <f t="shared" si="14"/>
        <v>10.333333333333334</v>
      </c>
      <c r="M69" s="12">
        <f t="shared" si="15"/>
        <v>0.43055555555555558</v>
      </c>
      <c r="N69" s="11">
        <f t="shared" si="16"/>
        <v>7.166666666666667</v>
      </c>
      <c r="O69" s="12">
        <f t="shared" si="17"/>
        <v>0.69354838709677424</v>
      </c>
      <c r="P69" s="12">
        <f t="shared" si="18"/>
        <v>0.2986111111111111</v>
      </c>
      <c r="Q69" s="13">
        <f t="shared" si="11"/>
        <v>10.333333333333334</v>
      </c>
      <c r="R69" s="13">
        <f t="shared" si="12"/>
        <v>7.1666666666666661</v>
      </c>
    </row>
    <row r="70" spans="1:18" ht="15.75" customHeight="1" x14ac:dyDescent="0.3">
      <c r="A70" s="7" t="s">
        <v>88</v>
      </c>
      <c r="B70" s="7" t="s">
        <v>300</v>
      </c>
      <c r="C70" s="24" t="s">
        <v>58</v>
      </c>
      <c r="D70" s="24" t="s">
        <v>103</v>
      </c>
      <c r="E70" s="8">
        <v>46048</v>
      </c>
      <c r="F70" s="8">
        <v>46053</v>
      </c>
      <c r="G70" s="9">
        <f t="shared" si="19"/>
        <v>6</v>
      </c>
      <c r="H70" s="10">
        <v>194</v>
      </c>
      <c r="I70" s="10">
        <v>38</v>
      </c>
      <c r="J70" s="10">
        <v>24</v>
      </c>
      <c r="K70" s="11">
        <f t="shared" si="13"/>
        <v>32.333333333333336</v>
      </c>
      <c r="L70" s="11">
        <f t="shared" si="14"/>
        <v>6.333333333333333</v>
      </c>
      <c r="M70" s="12">
        <f t="shared" si="15"/>
        <v>0.19587628865979381</v>
      </c>
      <c r="N70" s="11">
        <f t="shared" si="16"/>
        <v>4</v>
      </c>
      <c r="O70" s="12">
        <f t="shared" si="17"/>
        <v>0.63157894736842102</v>
      </c>
      <c r="P70" s="12">
        <f t="shared" si="18"/>
        <v>0.12371134020618557</v>
      </c>
      <c r="Q70" s="13">
        <f t="shared" si="11"/>
        <v>6.3333333333333339</v>
      </c>
      <c r="R70" s="13">
        <f t="shared" si="12"/>
        <v>4</v>
      </c>
    </row>
    <row r="71" spans="1:18" ht="15.75" customHeight="1" x14ac:dyDescent="0.3">
      <c r="A71" s="7" t="s">
        <v>88</v>
      </c>
      <c r="B71" s="7" t="s">
        <v>62</v>
      </c>
      <c r="C71" s="24" t="s">
        <v>58</v>
      </c>
      <c r="D71" s="24" t="s">
        <v>441</v>
      </c>
      <c r="E71" s="8">
        <v>46048</v>
      </c>
      <c r="F71" s="8">
        <v>46053</v>
      </c>
      <c r="G71" s="9">
        <f t="shared" si="19"/>
        <v>6</v>
      </c>
      <c r="H71" s="10">
        <v>39</v>
      </c>
      <c r="I71" s="10">
        <v>17</v>
      </c>
      <c r="J71" s="10">
        <v>15</v>
      </c>
      <c r="K71" s="11">
        <f t="shared" si="13"/>
        <v>6.5</v>
      </c>
      <c r="L71" s="11">
        <f t="shared" si="14"/>
        <v>2.8333333333333335</v>
      </c>
      <c r="M71" s="12">
        <f t="shared" si="15"/>
        <v>0.4358974358974359</v>
      </c>
      <c r="N71" s="11">
        <f t="shared" si="16"/>
        <v>2.5</v>
      </c>
      <c r="O71" s="12">
        <f t="shared" si="17"/>
        <v>0.88235294117647056</v>
      </c>
      <c r="P71" s="12">
        <f t="shared" si="18"/>
        <v>0.38461538461538464</v>
      </c>
      <c r="Q71" s="13">
        <f t="shared" si="11"/>
        <v>2.8333333333333335</v>
      </c>
      <c r="R71" s="13">
        <f t="shared" si="12"/>
        <v>2.5</v>
      </c>
    </row>
    <row r="72" spans="1:18" ht="15.75" customHeight="1" x14ac:dyDescent="0.3">
      <c r="A72" s="7" t="s">
        <v>88</v>
      </c>
      <c r="B72" s="7" t="s">
        <v>63</v>
      </c>
      <c r="C72" s="24" t="s">
        <v>58</v>
      </c>
      <c r="D72" s="24" t="s">
        <v>64</v>
      </c>
      <c r="E72" s="8">
        <v>46048</v>
      </c>
      <c r="F72" s="8">
        <v>46053</v>
      </c>
      <c r="G72" s="9">
        <f t="shared" si="19"/>
        <v>6</v>
      </c>
      <c r="H72" s="10">
        <v>64</v>
      </c>
      <c r="I72" s="10">
        <v>29</v>
      </c>
      <c r="J72" s="10">
        <v>21</v>
      </c>
      <c r="K72" s="11">
        <f t="shared" si="13"/>
        <v>10.666666666666666</v>
      </c>
      <c r="L72" s="11">
        <f t="shared" si="14"/>
        <v>4.833333333333333</v>
      </c>
      <c r="M72" s="12">
        <f t="shared" si="15"/>
        <v>0.453125</v>
      </c>
      <c r="N72" s="11">
        <f t="shared" si="16"/>
        <v>3.5</v>
      </c>
      <c r="O72" s="12">
        <f t="shared" si="17"/>
        <v>0.72413793103448276</v>
      </c>
      <c r="P72" s="12">
        <f t="shared" si="18"/>
        <v>0.328125</v>
      </c>
      <c r="Q72" s="13">
        <f t="shared" si="11"/>
        <v>4.833333333333333</v>
      </c>
      <c r="R72" s="13">
        <f t="shared" si="12"/>
        <v>3.5</v>
      </c>
    </row>
    <row r="73" spans="1:18" ht="15.75" customHeight="1" x14ac:dyDescent="0.3">
      <c r="A73" s="7" t="s">
        <v>88</v>
      </c>
      <c r="B73" s="7" t="s">
        <v>223</v>
      </c>
      <c r="C73" s="24" t="s">
        <v>58</v>
      </c>
      <c r="D73" s="24" t="s">
        <v>64</v>
      </c>
      <c r="E73" s="8">
        <v>46048</v>
      </c>
      <c r="F73" s="8">
        <v>46053</v>
      </c>
      <c r="G73" s="9">
        <f t="shared" si="19"/>
        <v>6</v>
      </c>
      <c r="H73" s="10">
        <v>56</v>
      </c>
      <c r="I73" s="10">
        <v>24</v>
      </c>
      <c r="J73" s="10">
        <v>19</v>
      </c>
      <c r="K73" s="11">
        <f t="shared" si="13"/>
        <v>9.3333333333333339</v>
      </c>
      <c r="L73" s="11">
        <f t="shared" si="14"/>
        <v>4</v>
      </c>
      <c r="M73" s="12">
        <f t="shared" si="15"/>
        <v>0.42857142857142855</v>
      </c>
      <c r="N73" s="11">
        <f t="shared" si="16"/>
        <v>3.1666666666666665</v>
      </c>
      <c r="O73" s="12">
        <f t="shared" si="17"/>
        <v>0.79166666666666663</v>
      </c>
      <c r="P73" s="12">
        <f t="shared" si="18"/>
        <v>0.3392857142857143</v>
      </c>
    </row>
    <row r="74" spans="1:18" ht="15.75" customHeight="1" x14ac:dyDescent="0.3">
      <c r="A74" s="7" t="s">
        <v>88</v>
      </c>
      <c r="B74" s="7" t="s">
        <v>65</v>
      </c>
      <c r="C74" s="24" t="s">
        <v>58</v>
      </c>
      <c r="D74" s="24" t="s">
        <v>66</v>
      </c>
      <c r="E74" s="8">
        <v>46048</v>
      </c>
      <c r="F74" s="8">
        <v>46053</v>
      </c>
      <c r="G74" s="9">
        <f t="shared" si="19"/>
        <v>6</v>
      </c>
      <c r="H74" s="10">
        <v>268</v>
      </c>
      <c r="I74" s="10">
        <v>80</v>
      </c>
      <c r="J74" s="10">
        <v>47</v>
      </c>
      <c r="K74" s="11">
        <f t="shared" si="13"/>
        <v>44.666666666666664</v>
      </c>
      <c r="L74" s="11">
        <f t="shared" si="14"/>
        <v>13.333333333333334</v>
      </c>
      <c r="M74" s="12">
        <f t="shared" si="15"/>
        <v>0.29850746268656714</v>
      </c>
      <c r="N74" s="11">
        <f t="shared" si="16"/>
        <v>7.833333333333333</v>
      </c>
      <c r="O74" s="12">
        <f t="shared" si="17"/>
        <v>0.58750000000000002</v>
      </c>
      <c r="P74" s="12">
        <f t="shared" si="18"/>
        <v>0.17537313432835822</v>
      </c>
      <c r="Q74" s="13">
        <f t="shared" ref="Q74:Q99" si="20">IFERROR((I74/H74)*K74,"")</f>
        <v>13.333333333333332</v>
      </c>
      <c r="R74" s="13">
        <f t="shared" ref="R74:R99" si="21">IFERROR((J74/H74)*K74,"")</f>
        <v>7.833333333333333</v>
      </c>
    </row>
    <row r="75" spans="1:18" ht="15.75" customHeight="1" x14ac:dyDescent="0.3">
      <c r="A75" s="7" t="s">
        <v>88</v>
      </c>
      <c r="B75" s="7" t="s">
        <v>67</v>
      </c>
      <c r="C75" s="24" t="s">
        <v>58</v>
      </c>
      <c r="D75" s="24" t="s">
        <v>68</v>
      </c>
      <c r="E75" s="8">
        <v>46048</v>
      </c>
      <c r="F75" s="8">
        <v>46053</v>
      </c>
      <c r="G75" s="9">
        <f t="shared" si="19"/>
        <v>6</v>
      </c>
      <c r="H75" s="10">
        <v>7</v>
      </c>
      <c r="I75" s="10">
        <v>2</v>
      </c>
      <c r="J75" s="10">
        <v>2</v>
      </c>
      <c r="K75" s="11">
        <f t="shared" si="13"/>
        <v>1.1666666666666667</v>
      </c>
      <c r="L75" s="11">
        <f t="shared" si="14"/>
        <v>0.33333333333333331</v>
      </c>
      <c r="M75" s="12">
        <f t="shared" si="15"/>
        <v>0.2857142857142857</v>
      </c>
      <c r="N75" s="11">
        <f t="shared" si="16"/>
        <v>0.33333333333333331</v>
      </c>
      <c r="O75" s="12">
        <f t="shared" si="17"/>
        <v>1</v>
      </c>
      <c r="P75" s="12">
        <f t="shared" si="18"/>
        <v>0.2857142857142857</v>
      </c>
      <c r="Q75" s="13">
        <f t="shared" si="20"/>
        <v>0.33333333333333331</v>
      </c>
      <c r="R75" s="13">
        <f t="shared" si="21"/>
        <v>0.33333333333333331</v>
      </c>
    </row>
    <row r="76" spans="1:18" ht="15.75" customHeight="1" x14ac:dyDescent="0.3">
      <c r="A76" s="7" t="s">
        <v>88</v>
      </c>
      <c r="B76" s="7" t="s">
        <v>69</v>
      </c>
      <c r="C76" s="24" t="s">
        <v>58</v>
      </c>
      <c r="D76" s="24" t="s">
        <v>66</v>
      </c>
      <c r="E76" s="8">
        <v>46048</v>
      </c>
      <c r="F76" s="8">
        <v>46053</v>
      </c>
      <c r="G76" s="9">
        <f t="shared" si="19"/>
        <v>6</v>
      </c>
      <c r="H76" s="10">
        <v>294</v>
      </c>
      <c r="I76" s="10">
        <v>78</v>
      </c>
      <c r="J76" s="10">
        <v>43</v>
      </c>
      <c r="K76" s="11">
        <f t="shared" si="13"/>
        <v>49</v>
      </c>
      <c r="L76" s="11">
        <f t="shared" si="14"/>
        <v>13</v>
      </c>
      <c r="M76" s="12">
        <f t="shared" si="15"/>
        <v>0.26530612244897961</v>
      </c>
      <c r="N76" s="11">
        <f t="shared" si="16"/>
        <v>7.166666666666667</v>
      </c>
      <c r="O76" s="12">
        <f t="shared" si="17"/>
        <v>0.55128205128205132</v>
      </c>
      <c r="P76" s="12">
        <f t="shared" si="18"/>
        <v>0.14625850340136054</v>
      </c>
      <c r="Q76" s="13">
        <f t="shared" si="20"/>
        <v>13</v>
      </c>
      <c r="R76" s="13">
        <f t="shared" si="21"/>
        <v>7.1666666666666661</v>
      </c>
    </row>
    <row r="77" spans="1:18" ht="15.75" customHeight="1" x14ac:dyDescent="0.3">
      <c r="A77" s="7" t="s">
        <v>88</v>
      </c>
      <c r="B77" s="7" t="s">
        <v>70</v>
      </c>
      <c r="C77" s="24" t="s">
        <v>58</v>
      </c>
      <c r="D77" s="24" t="s">
        <v>68</v>
      </c>
      <c r="E77" s="8">
        <v>46048</v>
      </c>
      <c r="F77" s="8">
        <v>46053</v>
      </c>
      <c r="G77" s="9">
        <f t="shared" si="19"/>
        <v>6</v>
      </c>
      <c r="H77" s="10">
        <v>73</v>
      </c>
      <c r="I77" s="10">
        <v>35</v>
      </c>
      <c r="J77" s="10">
        <v>25</v>
      </c>
      <c r="K77" s="11">
        <f t="shared" si="13"/>
        <v>12.166666666666666</v>
      </c>
      <c r="L77" s="11">
        <f t="shared" si="14"/>
        <v>5.833333333333333</v>
      </c>
      <c r="M77" s="12">
        <f t="shared" si="15"/>
        <v>0.47945205479452052</v>
      </c>
      <c r="N77" s="11">
        <f t="shared" si="16"/>
        <v>4.166666666666667</v>
      </c>
      <c r="O77" s="12">
        <f t="shared" si="17"/>
        <v>0.7142857142857143</v>
      </c>
      <c r="P77" s="12">
        <f t="shared" si="18"/>
        <v>0.34246575342465752</v>
      </c>
      <c r="Q77" s="13">
        <f t="shared" si="20"/>
        <v>5.833333333333333</v>
      </c>
      <c r="R77" s="13">
        <f t="shared" si="21"/>
        <v>4.1666666666666661</v>
      </c>
    </row>
    <row r="78" spans="1:18" ht="15.75" customHeight="1" x14ac:dyDescent="0.3">
      <c r="A78" s="7" t="s">
        <v>88</v>
      </c>
      <c r="B78" s="7" t="s">
        <v>71</v>
      </c>
      <c r="C78" s="24" t="s">
        <v>58</v>
      </c>
      <c r="D78" s="24" t="s">
        <v>66</v>
      </c>
      <c r="E78" s="8">
        <v>46048</v>
      </c>
      <c r="F78" s="8">
        <v>46053</v>
      </c>
      <c r="G78" s="9">
        <f t="shared" si="19"/>
        <v>6</v>
      </c>
      <c r="H78" s="10">
        <v>150</v>
      </c>
      <c r="I78" s="10">
        <v>37</v>
      </c>
      <c r="J78" s="10">
        <v>26</v>
      </c>
      <c r="K78" s="11">
        <f t="shared" si="13"/>
        <v>25</v>
      </c>
      <c r="L78" s="11">
        <f t="shared" si="14"/>
        <v>6.166666666666667</v>
      </c>
      <c r="M78" s="12">
        <f t="shared" si="15"/>
        <v>0.24666666666666667</v>
      </c>
      <c r="N78" s="11">
        <f t="shared" si="16"/>
        <v>4.333333333333333</v>
      </c>
      <c r="O78" s="12">
        <f t="shared" si="17"/>
        <v>0.70270270270270274</v>
      </c>
      <c r="P78" s="12">
        <f t="shared" si="18"/>
        <v>0.17333333333333334</v>
      </c>
      <c r="Q78" s="13">
        <f t="shared" si="20"/>
        <v>6.166666666666667</v>
      </c>
      <c r="R78" s="13">
        <f t="shared" si="21"/>
        <v>4.3333333333333339</v>
      </c>
    </row>
    <row r="79" spans="1:18" ht="15.75" customHeight="1" x14ac:dyDescent="0.3">
      <c r="A79" s="7" t="s">
        <v>88</v>
      </c>
      <c r="B79" s="7" t="s">
        <v>72</v>
      </c>
      <c r="C79" s="24" t="s">
        <v>58</v>
      </c>
      <c r="D79" s="24" t="s">
        <v>68</v>
      </c>
      <c r="E79" s="8">
        <v>46048</v>
      </c>
      <c r="F79" s="8">
        <v>46053</v>
      </c>
      <c r="G79" s="9">
        <f t="shared" si="19"/>
        <v>6</v>
      </c>
      <c r="H79" s="10">
        <v>15</v>
      </c>
      <c r="I79" s="10">
        <v>8</v>
      </c>
      <c r="J79" s="10">
        <v>6</v>
      </c>
      <c r="K79" s="11">
        <f t="shared" si="13"/>
        <v>2.5</v>
      </c>
      <c r="L79" s="11">
        <f t="shared" si="14"/>
        <v>1.3333333333333333</v>
      </c>
      <c r="M79" s="12">
        <f t="shared" si="15"/>
        <v>0.53333333333333333</v>
      </c>
      <c r="N79" s="11">
        <f t="shared" si="16"/>
        <v>1</v>
      </c>
      <c r="O79" s="12">
        <f t="shared" si="17"/>
        <v>0.75</v>
      </c>
      <c r="P79" s="12">
        <f t="shared" si="18"/>
        <v>0.4</v>
      </c>
      <c r="Q79" s="13">
        <f t="shared" si="20"/>
        <v>1.3333333333333333</v>
      </c>
      <c r="R79" s="13">
        <f t="shared" si="21"/>
        <v>1</v>
      </c>
    </row>
    <row r="80" spans="1:18" ht="15.75" customHeight="1" x14ac:dyDescent="0.3">
      <c r="A80" s="7" t="s">
        <v>88</v>
      </c>
      <c r="B80" s="7" t="s">
        <v>73</v>
      </c>
      <c r="C80" s="24" t="s">
        <v>58</v>
      </c>
      <c r="D80" s="24" t="s">
        <v>74</v>
      </c>
      <c r="E80" s="8">
        <v>46048</v>
      </c>
      <c r="F80" s="8">
        <v>46053</v>
      </c>
      <c r="G80" s="9">
        <f t="shared" si="19"/>
        <v>6</v>
      </c>
      <c r="H80" s="10">
        <v>177</v>
      </c>
      <c r="I80" s="10">
        <v>67</v>
      </c>
      <c r="J80" s="10">
        <v>39</v>
      </c>
      <c r="K80" s="11">
        <f t="shared" si="13"/>
        <v>29.5</v>
      </c>
      <c r="L80" s="11">
        <f t="shared" si="14"/>
        <v>11.166666666666666</v>
      </c>
      <c r="M80" s="12">
        <f t="shared" si="15"/>
        <v>0.37853107344632769</v>
      </c>
      <c r="N80" s="11">
        <f t="shared" si="16"/>
        <v>6.5</v>
      </c>
      <c r="O80" s="12">
        <f t="shared" si="17"/>
        <v>0.58208955223880599</v>
      </c>
      <c r="P80" s="12">
        <f t="shared" si="18"/>
        <v>0.22033898305084745</v>
      </c>
      <c r="Q80" s="13">
        <f t="shared" si="20"/>
        <v>11.166666666666666</v>
      </c>
      <c r="R80" s="13">
        <f t="shared" si="21"/>
        <v>6.5</v>
      </c>
    </row>
    <row r="81" spans="1:18" ht="15.75" customHeight="1" x14ac:dyDescent="0.3">
      <c r="A81" s="7" t="s">
        <v>88</v>
      </c>
      <c r="B81" s="7" t="s">
        <v>75</v>
      </c>
      <c r="C81" s="24" t="s">
        <v>58</v>
      </c>
      <c r="D81" s="24" t="s">
        <v>74</v>
      </c>
      <c r="E81" s="8">
        <v>46048</v>
      </c>
      <c r="F81" s="8">
        <v>46053</v>
      </c>
      <c r="G81" s="9">
        <f t="shared" si="19"/>
        <v>6</v>
      </c>
      <c r="H81" s="10">
        <v>144</v>
      </c>
      <c r="I81" s="10">
        <v>58</v>
      </c>
      <c r="J81" s="10">
        <v>36</v>
      </c>
      <c r="K81" s="11">
        <f t="shared" si="13"/>
        <v>24</v>
      </c>
      <c r="L81" s="11">
        <f t="shared" si="14"/>
        <v>9.6666666666666661</v>
      </c>
      <c r="M81" s="12">
        <f t="shared" si="15"/>
        <v>0.40277777777777779</v>
      </c>
      <c r="N81" s="11">
        <f t="shared" si="16"/>
        <v>6</v>
      </c>
      <c r="O81" s="12">
        <f t="shared" si="17"/>
        <v>0.62068965517241381</v>
      </c>
      <c r="P81" s="12">
        <f t="shared" si="18"/>
        <v>0.25</v>
      </c>
      <c r="Q81" s="13">
        <f t="shared" si="20"/>
        <v>9.6666666666666679</v>
      </c>
      <c r="R81" s="13">
        <f t="shared" si="21"/>
        <v>6</v>
      </c>
    </row>
    <row r="82" spans="1:18" ht="15.75" customHeight="1" x14ac:dyDescent="0.3">
      <c r="A82" s="7" t="s">
        <v>88</v>
      </c>
      <c r="B82" s="7" t="s">
        <v>180</v>
      </c>
      <c r="C82" s="24" t="s">
        <v>58</v>
      </c>
      <c r="D82" s="24" t="s">
        <v>59</v>
      </c>
      <c r="E82" s="8">
        <v>46048</v>
      </c>
      <c r="F82" s="8">
        <v>46053</v>
      </c>
      <c r="G82" s="9">
        <f t="shared" si="19"/>
        <v>6</v>
      </c>
      <c r="H82" s="10">
        <v>205</v>
      </c>
      <c r="I82" s="10">
        <v>82</v>
      </c>
      <c r="J82" s="10">
        <v>64</v>
      </c>
      <c r="K82" s="11">
        <f t="shared" si="13"/>
        <v>34.166666666666664</v>
      </c>
      <c r="L82" s="11">
        <f t="shared" si="14"/>
        <v>13.666666666666666</v>
      </c>
      <c r="M82" s="12">
        <f t="shared" si="15"/>
        <v>0.4</v>
      </c>
      <c r="N82" s="11">
        <f t="shared" si="16"/>
        <v>10.666666666666666</v>
      </c>
      <c r="O82" s="12">
        <f t="shared" si="17"/>
        <v>0.78048780487804881</v>
      </c>
      <c r="P82" s="12">
        <f t="shared" si="18"/>
        <v>0.31219512195121951</v>
      </c>
      <c r="Q82" s="13">
        <f t="shared" si="20"/>
        <v>13.666666666666666</v>
      </c>
      <c r="R82" s="13">
        <f t="shared" si="21"/>
        <v>10.666666666666666</v>
      </c>
    </row>
    <row r="83" spans="1:18" ht="15.75" customHeight="1" x14ac:dyDescent="0.3">
      <c r="A83" s="7" t="s">
        <v>89</v>
      </c>
      <c r="B83" s="7" t="s">
        <v>117</v>
      </c>
      <c r="C83" s="24" t="s">
        <v>47</v>
      </c>
      <c r="D83" s="24" t="s">
        <v>48</v>
      </c>
      <c r="E83" s="8">
        <v>46055</v>
      </c>
      <c r="F83" s="8">
        <v>46062</v>
      </c>
      <c r="G83" s="9">
        <f t="shared" si="19"/>
        <v>8</v>
      </c>
      <c r="H83" s="10">
        <v>2692</v>
      </c>
      <c r="I83" s="10">
        <v>1004</v>
      </c>
      <c r="J83" s="10">
        <v>700</v>
      </c>
      <c r="K83" s="11">
        <f t="shared" si="13"/>
        <v>336.5</v>
      </c>
      <c r="L83" s="11">
        <f t="shared" si="14"/>
        <v>125.5</v>
      </c>
      <c r="M83" s="12">
        <f t="shared" si="15"/>
        <v>0.37295690936106984</v>
      </c>
      <c r="N83" s="11">
        <f t="shared" si="16"/>
        <v>87.5</v>
      </c>
      <c r="O83" s="12">
        <f t="shared" si="17"/>
        <v>0.6972111553784861</v>
      </c>
      <c r="P83" s="12">
        <f t="shared" si="18"/>
        <v>0.26002971768202082</v>
      </c>
      <c r="Q83" s="13">
        <f t="shared" si="20"/>
        <v>125.5</v>
      </c>
      <c r="R83" s="13">
        <f t="shared" si="21"/>
        <v>87.5</v>
      </c>
    </row>
    <row r="84" spans="1:18" ht="15.75" customHeight="1" x14ac:dyDescent="0.3">
      <c r="A84" s="7" t="s">
        <v>89</v>
      </c>
      <c r="B84" s="7" t="s">
        <v>118</v>
      </c>
      <c r="C84" s="24" t="s">
        <v>47</v>
      </c>
      <c r="D84" s="24" t="s">
        <v>48</v>
      </c>
      <c r="E84" s="8">
        <v>46055</v>
      </c>
      <c r="F84" s="8">
        <v>46062</v>
      </c>
      <c r="G84" s="9">
        <f t="shared" si="19"/>
        <v>8</v>
      </c>
      <c r="H84" s="10">
        <v>85</v>
      </c>
      <c r="I84" s="10">
        <v>27</v>
      </c>
      <c r="J84" s="10">
        <v>15</v>
      </c>
      <c r="K84" s="11">
        <f t="shared" si="13"/>
        <v>10.625</v>
      </c>
      <c r="L84" s="11">
        <f t="shared" si="14"/>
        <v>3.375</v>
      </c>
      <c r="M84" s="12">
        <f t="shared" si="15"/>
        <v>0.31764705882352939</v>
      </c>
      <c r="N84" s="11">
        <f t="shared" si="16"/>
        <v>1.875</v>
      </c>
      <c r="O84" s="12">
        <f t="shared" si="17"/>
        <v>0.55555555555555558</v>
      </c>
      <c r="P84" s="12">
        <f t="shared" si="18"/>
        <v>0.17647058823529413</v>
      </c>
      <c r="Q84" s="13">
        <f t="shared" si="20"/>
        <v>3.375</v>
      </c>
      <c r="R84" s="13">
        <f t="shared" si="21"/>
        <v>1.8750000000000002</v>
      </c>
    </row>
    <row r="85" spans="1:18" ht="15.75" customHeight="1" x14ac:dyDescent="0.3">
      <c r="A85" s="7" t="s">
        <v>89</v>
      </c>
      <c r="B85" s="7" t="s">
        <v>93</v>
      </c>
      <c r="C85" s="24" t="s">
        <v>47</v>
      </c>
      <c r="D85" s="24" t="s">
        <v>48</v>
      </c>
      <c r="E85" s="8">
        <v>46055</v>
      </c>
      <c r="F85" s="8">
        <v>46062</v>
      </c>
      <c r="G85" s="9">
        <f t="shared" si="19"/>
        <v>8</v>
      </c>
      <c r="H85" s="10">
        <v>1214</v>
      </c>
      <c r="I85" s="10">
        <v>481</v>
      </c>
      <c r="J85" s="10">
        <v>341</v>
      </c>
      <c r="K85" s="11">
        <f t="shared" si="13"/>
        <v>151.75</v>
      </c>
      <c r="L85" s="11">
        <f t="shared" si="14"/>
        <v>60.125</v>
      </c>
      <c r="M85" s="12">
        <f t="shared" si="15"/>
        <v>0.39621087314662273</v>
      </c>
      <c r="N85" s="11">
        <f t="shared" si="16"/>
        <v>42.625</v>
      </c>
      <c r="O85" s="12">
        <f t="shared" si="17"/>
        <v>0.70893970893970892</v>
      </c>
      <c r="P85" s="12">
        <f t="shared" si="18"/>
        <v>0.28088962108731469</v>
      </c>
      <c r="Q85" s="13">
        <f t="shared" si="20"/>
        <v>60.125</v>
      </c>
      <c r="R85" s="13">
        <f t="shared" si="21"/>
        <v>42.625000000000007</v>
      </c>
    </row>
    <row r="86" spans="1:18" ht="15.75" customHeight="1" x14ac:dyDescent="0.3">
      <c r="A86" s="7" t="s">
        <v>89</v>
      </c>
      <c r="B86" s="7" t="s">
        <v>94</v>
      </c>
      <c r="C86" s="24" t="s">
        <v>47</v>
      </c>
      <c r="D86" s="24" t="s">
        <v>48</v>
      </c>
      <c r="E86" s="8">
        <v>46055</v>
      </c>
      <c r="F86" s="8">
        <v>46062</v>
      </c>
      <c r="G86" s="9">
        <f t="shared" si="19"/>
        <v>8</v>
      </c>
      <c r="H86" s="10" t="s">
        <v>433</v>
      </c>
      <c r="I86" s="10" t="s">
        <v>433</v>
      </c>
      <c r="J86" s="10" t="s">
        <v>433</v>
      </c>
      <c r="K86" s="11" t="str">
        <f t="shared" si="13"/>
        <v/>
      </c>
      <c r="L86" s="11" t="str">
        <f t="shared" si="14"/>
        <v/>
      </c>
      <c r="M86" s="12" t="str">
        <f t="shared" si="15"/>
        <v/>
      </c>
      <c r="N86" s="11" t="str">
        <f t="shared" si="16"/>
        <v/>
      </c>
      <c r="O86" s="12" t="str">
        <f t="shared" si="17"/>
        <v/>
      </c>
      <c r="P86" s="12" t="str">
        <f t="shared" si="18"/>
        <v/>
      </c>
      <c r="Q86" s="13" t="str">
        <f t="shared" si="20"/>
        <v/>
      </c>
      <c r="R86" s="13" t="str">
        <f t="shared" si="21"/>
        <v/>
      </c>
    </row>
    <row r="87" spans="1:18" ht="15.75" customHeight="1" x14ac:dyDescent="0.3">
      <c r="A87" s="7" t="s">
        <v>89</v>
      </c>
      <c r="B87" s="7" t="s">
        <v>119</v>
      </c>
      <c r="C87" s="24" t="s">
        <v>47</v>
      </c>
      <c r="D87" s="24" t="s">
        <v>48</v>
      </c>
      <c r="E87" s="8">
        <v>46055</v>
      </c>
      <c r="F87" s="8">
        <v>46062</v>
      </c>
      <c r="G87" s="9">
        <f t="shared" si="19"/>
        <v>8</v>
      </c>
      <c r="H87" s="10">
        <v>421</v>
      </c>
      <c r="I87" s="10">
        <v>173</v>
      </c>
      <c r="J87" s="10">
        <v>130</v>
      </c>
      <c r="K87" s="11">
        <f t="shared" si="13"/>
        <v>52.625</v>
      </c>
      <c r="L87" s="11">
        <f t="shared" si="14"/>
        <v>21.625</v>
      </c>
      <c r="M87" s="12">
        <f t="shared" si="15"/>
        <v>0.41092636579572445</v>
      </c>
      <c r="N87" s="11">
        <f t="shared" si="16"/>
        <v>16.25</v>
      </c>
      <c r="O87" s="12">
        <f t="shared" si="17"/>
        <v>0.75144508670520227</v>
      </c>
      <c r="P87" s="12">
        <f t="shared" si="18"/>
        <v>0.30878859857482183</v>
      </c>
      <c r="Q87" s="13">
        <f t="shared" si="20"/>
        <v>21.625</v>
      </c>
      <c r="R87" s="13">
        <f t="shared" si="21"/>
        <v>16.25</v>
      </c>
    </row>
    <row r="88" spans="1:18" ht="15.75" customHeight="1" x14ac:dyDescent="0.3">
      <c r="A88" s="7" t="s">
        <v>89</v>
      </c>
      <c r="B88" s="7" t="s">
        <v>120</v>
      </c>
      <c r="C88" s="24" t="s">
        <v>47</v>
      </c>
      <c r="D88" s="24" t="s">
        <v>48</v>
      </c>
      <c r="E88" s="8">
        <v>46055</v>
      </c>
      <c r="F88" s="8">
        <v>46062</v>
      </c>
      <c r="G88" s="9">
        <f t="shared" si="19"/>
        <v>8</v>
      </c>
      <c r="H88" s="10">
        <v>27</v>
      </c>
      <c r="I88" s="10">
        <v>8</v>
      </c>
      <c r="J88" s="10">
        <v>6</v>
      </c>
      <c r="K88" s="11">
        <f t="shared" si="13"/>
        <v>3.375</v>
      </c>
      <c r="L88" s="11">
        <f t="shared" si="14"/>
        <v>1</v>
      </c>
      <c r="M88" s="12">
        <f t="shared" si="15"/>
        <v>0.29629629629629628</v>
      </c>
      <c r="N88" s="11">
        <f t="shared" si="16"/>
        <v>0.75</v>
      </c>
      <c r="O88" s="12">
        <f t="shared" si="17"/>
        <v>0.75</v>
      </c>
      <c r="P88" s="12">
        <f t="shared" si="18"/>
        <v>0.22222222222222221</v>
      </c>
      <c r="Q88" s="13">
        <f t="shared" si="20"/>
        <v>1</v>
      </c>
      <c r="R88" s="13">
        <f t="shared" si="21"/>
        <v>0.75</v>
      </c>
    </row>
    <row r="89" spans="1:18" ht="15.75" customHeight="1" x14ac:dyDescent="0.3">
      <c r="A89" s="7" t="s">
        <v>89</v>
      </c>
      <c r="B89" s="7" t="s">
        <v>95</v>
      </c>
      <c r="C89" s="24" t="s">
        <v>47</v>
      </c>
      <c r="D89" s="24" t="s">
        <v>48</v>
      </c>
      <c r="E89" s="8">
        <v>46055</v>
      </c>
      <c r="F89" s="8">
        <v>46062</v>
      </c>
      <c r="G89" s="9">
        <f t="shared" si="19"/>
        <v>8</v>
      </c>
      <c r="H89" s="10">
        <v>569</v>
      </c>
      <c r="I89" s="10">
        <v>143</v>
      </c>
      <c r="J89" s="10">
        <v>107</v>
      </c>
      <c r="K89" s="11">
        <f t="shared" si="13"/>
        <v>71.125</v>
      </c>
      <c r="L89" s="11">
        <f t="shared" si="14"/>
        <v>17.875</v>
      </c>
      <c r="M89" s="12">
        <f t="shared" si="15"/>
        <v>0.25131810193321619</v>
      </c>
      <c r="N89" s="11">
        <f t="shared" si="16"/>
        <v>13.375</v>
      </c>
      <c r="O89" s="12">
        <f t="shared" si="17"/>
        <v>0.74825174825174823</v>
      </c>
      <c r="P89" s="12">
        <f t="shared" si="18"/>
        <v>0.18804920913884007</v>
      </c>
      <c r="Q89" s="13">
        <f t="shared" si="20"/>
        <v>17.875</v>
      </c>
      <c r="R89" s="13">
        <f t="shared" si="21"/>
        <v>13.375</v>
      </c>
    </row>
    <row r="90" spans="1:18" ht="15.75" customHeight="1" x14ac:dyDescent="0.3">
      <c r="A90" s="7" t="s">
        <v>89</v>
      </c>
      <c r="B90" s="7" t="s">
        <v>96</v>
      </c>
      <c r="C90" s="24" t="s">
        <v>47</v>
      </c>
      <c r="D90" s="24" t="s">
        <v>48</v>
      </c>
      <c r="E90" s="8">
        <v>46055</v>
      </c>
      <c r="F90" s="8">
        <v>46062</v>
      </c>
      <c r="G90" s="9">
        <f t="shared" si="19"/>
        <v>8</v>
      </c>
      <c r="H90" s="10">
        <v>44</v>
      </c>
      <c r="I90" s="10">
        <v>10</v>
      </c>
      <c r="J90" s="10">
        <v>9</v>
      </c>
      <c r="K90" s="11">
        <f t="shared" si="13"/>
        <v>5.5</v>
      </c>
      <c r="L90" s="11">
        <f t="shared" si="14"/>
        <v>1.25</v>
      </c>
      <c r="M90" s="12">
        <f t="shared" si="15"/>
        <v>0.22727272727272727</v>
      </c>
      <c r="N90" s="11">
        <f t="shared" si="16"/>
        <v>1.125</v>
      </c>
      <c r="O90" s="12">
        <f t="shared" si="17"/>
        <v>0.9</v>
      </c>
      <c r="P90" s="12">
        <f t="shared" si="18"/>
        <v>0.20454545454545456</v>
      </c>
      <c r="Q90" s="13">
        <f t="shared" si="20"/>
        <v>1.25</v>
      </c>
      <c r="R90" s="13">
        <f t="shared" si="21"/>
        <v>1.125</v>
      </c>
    </row>
    <row r="91" spans="1:18" ht="15.75" customHeight="1" x14ac:dyDescent="0.3">
      <c r="A91" s="7" t="s">
        <v>89</v>
      </c>
      <c r="B91" s="7" t="s">
        <v>121</v>
      </c>
      <c r="C91" s="24" t="s">
        <v>58</v>
      </c>
      <c r="D91" s="24" t="s">
        <v>61</v>
      </c>
      <c r="E91" s="8">
        <v>46055</v>
      </c>
      <c r="F91" s="8">
        <v>46062</v>
      </c>
      <c r="G91" s="9">
        <f t="shared" si="19"/>
        <v>8</v>
      </c>
      <c r="H91" s="10">
        <v>386</v>
      </c>
      <c r="I91" s="10">
        <v>122</v>
      </c>
      <c r="J91" s="10">
        <v>69</v>
      </c>
      <c r="K91" s="11">
        <f t="shared" si="13"/>
        <v>48.25</v>
      </c>
      <c r="L91" s="11">
        <f t="shared" si="14"/>
        <v>15.25</v>
      </c>
      <c r="M91" s="12">
        <f t="shared" si="15"/>
        <v>0.31606217616580312</v>
      </c>
      <c r="N91" s="11">
        <f t="shared" si="16"/>
        <v>8.625</v>
      </c>
      <c r="O91" s="12">
        <f t="shared" si="17"/>
        <v>0.56557377049180324</v>
      </c>
      <c r="P91" s="12">
        <f t="shared" si="18"/>
        <v>0.17875647668393782</v>
      </c>
      <c r="Q91" s="13">
        <f t="shared" si="20"/>
        <v>15.25</v>
      </c>
      <c r="R91" s="13">
        <f t="shared" si="21"/>
        <v>8.625</v>
      </c>
    </row>
    <row r="92" spans="1:18" ht="15.75" customHeight="1" x14ac:dyDescent="0.3">
      <c r="A92" s="7" t="s">
        <v>89</v>
      </c>
      <c r="B92" s="7" t="s">
        <v>122</v>
      </c>
      <c r="C92" s="24" t="s">
        <v>58</v>
      </c>
      <c r="D92" s="24" t="s">
        <v>442</v>
      </c>
      <c r="E92" s="8">
        <v>46055</v>
      </c>
      <c r="F92" s="8">
        <v>46062</v>
      </c>
      <c r="G92" s="9">
        <f t="shared" si="19"/>
        <v>8</v>
      </c>
      <c r="H92" s="10">
        <v>76</v>
      </c>
      <c r="I92" s="10">
        <v>21</v>
      </c>
      <c r="J92" s="10">
        <v>14</v>
      </c>
      <c r="K92" s="11">
        <f t="shared" si="13"/>
        <v>9.5</v>
      </c>
      <c r="L92" s="11">
        <f t="shared" si="14"/>
        <v>2.625</v>
      </c>
      <c r="M92" s="12">
        <f t="shared" si="15"/>
        <v>0.27631578947368424</v>
      </c>
      <c r="N92" s="11">
        <f t="shared" si="16"/>
        <v>1.75</v>
      </c>
      <c r="O92" s="12">
        <f t="shared" si="17"/>
        <v>0.66666666666666663</v>
      </c>
      <c r="P92" s="12">
        <f t="shared" si="18"/>
        <v>0.18421052631578946</v>
      </c>
      <c r="Q92" s="13">
        <f t="shared" si="20"/>
        <v>2.6250000000000004</v>
      </c>
      <c r="R92" s="13">
        <f t="shared" si="21"/>
        <v>1.75</v>
      </c>
    </row>
    <row r="93" spans="1:18" ht="15.75" customHeight="1" x14ac:dyDescent="0.3">
      <c r="A93" s="7" t="s">
        <v>89</v>
      </c>
      <c r="B93" s="7" t="s">
        <v>123</v>
      </c>
      <c r="C93" s="24" t="s">
        <v>58</v>
      </c>
      <c r="D93" s="24" t="s">
        <v>124</v>
      </c>
      <c r="E93" s="8">
        <v>46055</v>
      </c>
      <c r="F93" s="8">
        <v>46062</v>
      </c>
      <c r="G93" s="9">
        <f t="shared" si="19"/>
        <v>8</v>
      </c>
      <c r="H93" s="10">
        <v>10</v>
      </c>
      <c r="I93" s="10">
        <v>3</v>
      </c>
      <c r="J93" s="10">
        <v>1</v>
      </c>
      <c r="K93" s="11">
        <f t="shared" si="13"/>
        <v>1.25</v>
      </c>
      <c r="L93" s="11">
        <f t="shared" si="14"/>
        <v>0.375</v>
      </c>
      <c r="M93" s="12">
        <f t="shared" si="15"/>
        <v>0.3</v>
      </c>
      <c r="N93" s="11">
        <f t="shared" si="16"/>
        <v>0.125</v>
      </c>
      <c r="O93" s="12">
        <f t="shared" si="17"/>
        <v>0.33333333333333331</v>
      </c>
      <c r="P93" s="12">
        <f t="shared" si="18"/>
        <v>0.1</v>
      </c>
      <c r="Q93" s="13">
        <f t="shared" si="20"/>
        <v>0.375</v>
      </c>
      <c r="R93" s="13">
        <f t="shared" si="21"/>
        <v>0.125</v>
      </c>
    </row>
    <row r="94" spans="1:18" ht="15.75" customHeight="1" x14ac:dyDescent="0.3">
      <c r="A94" s="7" t="s">
        <v>89</v>
      </c>
      <c r="B94" s="7" t="s">
        <v>125</v>
      </c>
      <c r="C94" s="24" t="s">
        <v>58</v>
      </c>
      <c r="D94" s="24" t="s">
        <v>103</v>
      </c>
      <c r="E94" s="8">
        <v>46055</v>
      </c>
      <c r="F94" s="8">
        <v>46062</v>
      </c>
      <c r="G94" s="9">
        <f t="shared" si="19"/>
        <v>8</v>
      </c>
      <c r="H94" s="10">
        <v>666</v>
      </c>
      <c r="I94" s="10">
        <v>143</v>
      </c>
      <c r="J94" s="10">
        <v>113</v>
      </c>
      <c r="K94" s="11">
        <f t="shared" si="13"/>
        <v>83.25</v>
      </c>
      <c r="L94" s="11">
        <f t="shared" si="14"/>
        <v>17.875</v>
      </c>
      <c r="M94" s="12">
        <f t="shared" si="15"/>
        <v>0.21471471471471471</v>
      </c>
      <c r="N94" s="11">
        <f t="shared" si="16"/>
        <v>14.125</v>
      </c>
      <c r="O94" s="12">
        <f t="shared" si="17"/>
        <v>0.79020979020979021</v>
      </c>
      <c r="P94" s="12">
        <f t="shared" si="18"/>
        <v>0.16966966966966968</v>
      </c>
      <c r="Q94" s="13">
        <f t="shared" si="20"/>
        <v>17.875</v>
      </c>
      <c r="R94" s="13">
        <f t="shared" si="21"/>
        <v>14.125</v>
      </c>
    </row>
    <row r="95" spans="1:18" ht="15.75" customHeight="1" x14ac:dyDescent="0.3">
      <c r="A95" s="7" t="s">
        <v>89</v>
      </c>
      <c r="B95" s="7" t="s">
        <v>126</v>
      </c>
      <c r="C95" s="24" t="s">
        <v>58</v>
      </c>
      <c r="D95" s="24" t="s">
        <v>61</v>
      </c>
      <c r="E95" s="8">
        <v>46055</v>
      </c>
      <c r="F95" s="8">
        <v>46062</v>
      </c>
      <c r="G95" s="9">
        <f t="shared" si="19"/>
        <v>8</v>
      </c>
      <c r="H95" s="10">
        <v>504</v>
      </c>
      <c r="I95" s="10">
        <v>150</v>
      </c>
      <c r="J95" s="10">
        <v>97</v>
      </c>
      <c r="K95" s="11">
        <f t="shared" si="13"/>
        <v>63</v>
      </c>
      <c r="L95" s="11">
        <f t="shared" si="14"/>
        <v>18.75</v>
      </c>
      <c r="M95" s="12">
        <f t="shared" si="15"/>
        <v>0.29761904761904762</v>
      </c>
      <c r="N95" s="11">
        <f t="shared" si="16"/>
        <v>12.125</v>
      </c>
      <c r="O95" s="12">
        <f t="shared" si="17"/>
        <v>0.64666666666666661</v>
      </c>
      <c r="P95" s="12">
        <f t="shared" si="18"/>
        <v>0.19246031746031747</v>
      </c>
      <c r="Q95" s="13">
        <f t="shared" si="20"/>
        <v>18.75</v>
      </c>
      <c r="R95" s="13">
        <f t="shared" si="21"/>
        <v>12.125</v>
      </c>
    </row>
    <row r="96" spans="1:18" ht="15.75" customHeight="1" x14ac:dyDescent="0.3">
      <c r="A96" s="7" t="s">
        <v>89</v>
      </c>
      <c r="B96" s="7" t="s">
        <v>127</v>
      </c>
      <c r="C96" s="24" t="s">
        <v>58</v>
      </c>
      <c r="D96" s="24" t="s">
        <v>107</v>
      </c>
      <c r="E96" s="8">
        <v>46055</v>
      </c>
      <c r="F96" s="8">
        <v>46062</v>
      </c>
      <c r="G96" s="9">
        <f t="shared" si="19"/>
        <v>8</v>
      </c>
      <c r="H96" s="10">
        <v>54</v>
      </c>
      <c r="I96" s="10">
        <v>26</v>
      </c>
      <c r="J96" s="10">
        <v>21</v>
      </c>
      <c r="K96" s="11">
        <f t="shared" si="13"/>
        <v>6.75</v>
      </c>
      <c r="L96" s="11">
        <f t="shared" si="14"/>
        <v>3.25</v>
      </c>
      <c r="M96" s="12">
        <f t="shared" si="15"/>
        <v>0.48148148148148145</v>
      </c>
      <c r="N96" s="11">
        <f t="shared" si="16"/>
        <v>2.625</v>
      </c>
      <c r="O96" s="12">
        <f t="shared" si="17"/>
        <v>0.80769230769230771</v>
      </c>
      <c r="P96" s="12">
        <f t="shared" si="18"/>
        <v>0.3888888888888889</v>
      </c>
      <c r="Q96" s="13">
        <f t="shared" si="20"/>
        <v>3.25</v>
      </c>
      <c r="R96" s="13">
        <f t="shared" si="21"/>
        <v>2.625</v>
      </c>
    </row>
    <row r="97" spans="1:18" ht="15.75" customHeight="1" x14ac:dyDescent="0.3">
      <c r="A97" s="7" t="s">
        <v>89</v>
      </c>
      <c r="B97" s="7" t="s">
        <v>128</v>
      </c>
      <c r="C97" s="24" t="s">
        <v>58</v>
      </c>
      <c r="D97" s="24" t="s">
        <v>61</v>
      </c>
      <c r="E97" s="8">
        <v>46055</v>
      </c>
      <c r="F97" s="8">
        <v>46062</v>
      </c>
      <c r="G97" s="9">
        <f t="shared" si="19"/>
        <v>8</v>
      </c>
      <c r="H97" s="10">
        <v>248</v>
      </c>
      <c r="I97" s="10">
        <v>50</v>
      </c>
      <c r="J97" s="10">
        <v>41</v>
      </c>
      <c r="K97" s="11">
        <f t="shared" si="13"/>
        <v>31</v>
      </c>
      <c r="L97" s="11">
        <f t="shared" si="14"/>
        <v>6.25</v>
      </c>
      <c r="M97" s="12">
        <f t="shared" si="15"/>
        <v>0.20161290322580644</v>
      </c>
      <c r="N97" s="11">
        <f t="shared" si="16"/>
        <v>5.125</v>
      </c>
      <c r="O97" s="12">
        <f t="shared" si="17"/>
        <v>0.82</v>
      </c>
      <c r="P97" s="12">
        <f t="shared" si="18"/>
        <v>0.16532258064516128</v>
      </c>
      <c r="Q97" s="13">
        <f t="shared" si="20"/>
        <v>6.25</v>
      </c>
      <c r="R97" s="13">
        <f t="shared" si="21"/>
        <v>5.125</v>
      </c>
    </row>
    <row r="98" spans="1:18" ht="15.75" customHeight="1" x14ac:dyDescent="0.3">
      <c r="A98" s="7" t="s">
        <v>89</v>
      </c>
      <c r="B98" s="7" t="s">
        <v>129</v>
      </c>
      <c r="C98" s="24" t="s">
        <v>58</v>
      </c>
      <c r="D98" s="24" t="s">
        <v>61</v>
      </c>
      <c r="E98" s="8">
        <v>46055</v>
      </c>
      <c r="F98" s="8">
        <v>46062</v>
      </c>
      <c r="G98" s="9">
        <f t="shared" si="19"/>
        <v>8</v>
      </c>
      <c r="H98" s="10">
        <v>412</v>
      </c>
      <c r="I98" s="10">
        <v>43</v>
      </c>
      <c r="J98" s="10">
        <v>33</v>
      </c>
      <c r="K98" s="11">
        <f t="shared" si="13"/>
        <v>51.5</v>
      </c>
      <c r="L98" s="11">
        <f t="shared" si="14"/>
        <v>5.375</v>
      </c>
      <c r="M98" s="12">
        <f t="shared" si="15"/>
        <v>0.10436893203883495</v>
      </c>
      <c r="N98" s="11">
        <f t="shared" si="16"/>
        <v>4.125</v>
      </c>
      <c r="O98" s="12">
        <f t="shared" si="17"/>
        <v>0.76744186046511631</v>
      </c>
      <c r="P98" s="12">
        <f t="shared" si="18"/>
        <v>8.0097087378640783E-2</v>
      </c>
      <c r="Q98" s="13">
        <f t="shared" si="20"/>
        <v>5.375</v>
      </c>
      <c r="R98" s="13">
        <f t="shared" si="21"/>
        <v>4.125</v>
      </c>
    </row>
    <row r="99" spans="1:18" ht="15.75" customHeight="1" x14ac:dyDescent="0.3">
      <c r="A99" s="7" t="s">
        <v>89</v>
      </c>
      <c r="B99" s="7" t="s">
        <v>33</v>
      </c>
      <c r="C99" s="24" t="s">
        <v>34</v>
      </c>
      <c r="D99" s="24" t="s">
        <v>35</v>
      </c>
      <c r="E99" s="8">
        <v>46055</v>
      </c>
      <c r="F99" s="8">
        <v>46062</v>
      </c>
      <c r="G99" s="9">
        <f t="shared" si="19"/>
        <v>8</v>
      </c>
      <c r="H99" s="10">
        <v>532</v>
      </c>
      <c r="I99" s="10">
        <v>192</v>
      </c>
      <c r="J99" s="10">
        <v>114</v>
      </c>
      <c r="K99" s="11">
        <f t="shared" si="13"/>
        <v>66.5</v>
      </c>
      <c r="L99" s="11">
        <f t="shared" si="14"/>
        <v>24</v>
      </c>
      <c r="M99" s="12">
        <f t="shared" si="15"/>
        <v>0.36090225563909772</v>
      </c>
      <c r="N99" s="11">
        <f t="shared" si="16"/>
        <v>14.25</v>
      </c>
      <c r="O99" s="12">
        <f t="shared" si="17"/>
        <v>0.59375</v>
      </c>
      <c r="P99" s="12">
        <f t="shared" si="18"/>
        <v>0.21428571428571427</v>
      </c>
      <c r="Q99" s="13">
        <f t="shared" si="20"/>
        <v>24</v>
      </c>
      <c r="R99" s="13">
        <f t="shared" si="21"/>
        <v>14.25</v>
      </c>
    </row>
    <row r="100" spans="1:18" ht="15.75" customHeight="1" x14ac:dyDescent="0.3">
      <c r="A100" s="7" t="s">
        <v>89</v>
      </c>
      <c r="B100" s="7" t="s">
        <v>36</v>
      </c>
      <c r="C100" s="24" t="s">
        <v>34</v>
      </c>
      <c r="D100" s="24" t="s">
        <v>35</v>
      </c>
      <c r="E100" s="8">
        <v>46055</v>
      </c>
      <c r="F100" s="8">
        <v>46062</v>
      </c>
      <c r="G100" s="9">
        <f t="shared" si="19"/>
        <v>8</v>
      </c>
      <c r="H100" s="10" t="s">
        <v>433</v>
      </c>
      <c r="I100" s="10" t="s">
        <v>433</v>
      </c>
      <c r="J100" s="10" t="s">
        <v>433</v>
      </c>
      <c r="K100" s="11" t="str">
        <f t="shared" si="13"/>
        <v/>
      </c>
      <c r="L100" s="11" t="str">
        <f t="shared" si="14"/>
        <v/>
      </c>
      <c r="M100" s="12" t="str">
        <f t="shared" si="15"/>
        <v/>
      </c>
      <c r="N100" s="11" t="str">
        <f t="shared" si="16"/>
        <v/>
      </c>
      <c r="O100" s="12" t="str">
        <f t="shared" si="17"/>
        <v/>
      </c>
      <c r="P100" s="12" t="str">
        <f t="shared" si="18"/>
        <v/>
      </c>
    </row>
    <row r="101" spans="1:18" ht="15.75" customHeight="1" x14ac:dyDescent="0.3">
      <c r="A101" s="7" t="s">
        <v>89</v>
      </c>
      <c r="B101" s="7" t="s">
        <v>78</v>
      </c>
      <c r="C101" s="24" t="s">
        <v>34</v>
      </c>
      <c r="D101" s="24" t="s">
        <v>35</v>
      </c>
      <c r="E101" s="8">
        <v>46055</v>
      </c>
      <c r="F101" s="8">
        <v>46062</v>
      </c>
      <c r="G101" s="9">
        <f t="shared" si="19"/>
        <v>8</v>
      </c>
      <c r="H101" s="10">
        <v>798</v>
      </c>
      <c r="I101" s="10">
        <v>310</v>
      </c>
      <c r="J101" s="10">
        <v>170</v>
      </c>
      <c r="K101" s="11">
        <f t="shared" si="13"/>
        <v>99.75</v>
      </c>
      <c r="L101" s="11">
        <f t="shared" si="14"/>
        <v>38.75</v>
      </c>
      <c r="M101" s="12">
        <f t="shared" si="15"/>
        <v>0.38847117794486213</v>
      </c>
      <c r="N101" s="11">
        <f t="shared" si="16"/>
        <v>21.25</v>
      </c>
      <c r="O101" s="12">
        <f t="shared" si="17"/>
        <v>0.54838709677419351</v>
      </c>
      <c r="P101" s="12">
        <f t="shared" si="18"/>
        <v>0.21303258145363407</v>
      </c>
      <c r="Q101" s="13">
        <f>IFERROR((I101/H101)*K101,"")</f>
        <v>38.75</v>
      </c>
      <c r="R101" s="13">
        <f>IFERROR((J101/H101)*K101,"")</f>
        <v>21.25</v>
      </c>
    </row>
    <row r="102" spans="1:18" ht="15.75" customHeight="1" x14ac:dyDescent="0.3">
      <c r="A102" s="7" t="s">
        <v>89</v>
      </c>
      <c r="B102" s="7" t="s">
        <v>242</v>
      </c>
      <c r="C102" s="24" t="s">
        <v>34</v>
      </c>
      <c r="D102" s="24" t="s">
        <v>35</v>
      </c>
      <c r="E102" s="8">
        <v>46055</v>
      </c>
      <c r="F102" s="8">
        <v>46062</v>
      </c>
      <c r="G102" s="9">
        <f t="shared" si="19"/>
        <v>8</v>
      </c>
      <c r="H102" s="10">
        <v>2</v>
      </c>
      <c r="I102" s="10">
        <v>1</v>
      </c>
      <c r="J102" s="10">
        <v>1</v>
      </c>
      <c r="K102" s="11">
        <f t="shared" si="13"/>
        <v>0.25</v>
      </c>
      <c r="L102" s="11">
        <f t="shared" si="14"/>
        <v>0.125</v>
      </c>
      <c r="M102" s="12">
        <f t="shared" si="15"/>
        <v>0.5</v>
      </c>
      <c r="N102" s="11">
        <f t="shared" si="16"/>
        <v>0.125</v>
      </c>
      <c r="O102" s="12">
        <f t="shared" si="17"/>
        <v>1</v>
      </c>
      <c r="P102" s="12">
        <f t="shared" si="18"/>
        <v>0.5</v>
      </c>
      <c r="Q102" s="13">
        <f>IFERROR((I102/H102)*K102,"")</f>
        <v>0.125</v>
      </c>
      <c r="R102" s="13">
        <f>IFERROR((J102/H102)*K102,"")</f>
        <v>0.125</v>
      </c>
    </row>
    <row r="103" spans="1:18" ht="15.75" customHeight="1" x14ac:dyDescent="0.3">
      <c r="A103" s="7" t="s">
        <v>89</v>
      </c>
      <c r="B103" s="7" t="s">
        <v>90</v>
      </c>
      <c r="C103" s="24" t="s">
        <v>34</v>
      </c>
      <c r="D103" s="24" t="s">
        <v>91</v>
      </c>
      <c r="E103" s="8">
        <v>46055</v>
      </c>
      <c r="F103" s="8">
        <v>46062</v>
      </c>
      <c r="G103" s="9">
        <f t="shared" si="19"/>
        <v>8</v>
      </c>
      <c r="H103" s="10">
        <v>81</v>
      </c>
      <c r="I103" s="10">
        <v>20</v>
      </c>
      <c r="J103" s="10">
        <v>12</v>
      </c>
      <c r="K103" s="11">
        <f t="shared" si="13"/>
        <v>10.125</v>
      </c>
      <c r="L103" s="11">
        <f t="shared" si="14"/>
        <v>2.5</v>
      </c>
      <c r="M103" s="12">
        <f t="shared" si="15"/>
        <v>0.24691358024691357</v>
      </c>
      <c r="N103" s="11">
        <f t="shared" si="16"/>
        <v>1.5</v>
      </c>
      <c r="O103" s="12">
        <f t="shared" si="17"/>
        <v>0.6</v>
      </c>
      <c r="P103" s="12">
        <f t="shared" si="18"/>
        <v>0.14814814814814814</v>
      </c>
    </row>
    <row r="104" spans="1:18" ht="15.75" customHeight="1" x14ac:dyDescent="0.3">
      <c r="A104" s="7" t="s">
        <v>89</v>
      </c>
      <c r="B104" s="7" t="s">
        <v>434</v>
      </c>
      <c r="C104" s="24" t="s">
        <v>433</v>
      </c>
      <c r="D104" s="24" t="s">
        <v>433</v>
      </c>
      <c r="E104" s="8">
        <v>46055</v>
      </c>
      <c r="F104" s="8">
        <v>46062</v>
      </c>
      <c r="G104" s="9">
        <f t="shared" si="19"/>
        <v>8</v>
      </c>
      <c r="H104" s="10" t="s">
        <v>433</v>
      </c>
      <c r="I104" s="10" t="s">
        <v>433</v>
      </c>
      <c r="J104" s="10" t="s">
        <v>433</v>
      </c>
      <c r="K104" s="11" t="str">
        <f t="shared" si="13"/>
        <v/>
      </c>
      <c r="L104" s="11" t="str">
        <f t="shared" si="14"/>
        <v/>
      </c>
      <c r="M104" s="12" t="str">
        <f t="shared" si="15"/>
        <v/>
      </c>
      <c r="N104" s="11" t="str">
        <f t="shared" si="16"/>
        <v/>
      </c>
      <c r="O104" s="12" t="str">
        <f t="shared" si="17"/>
        <v/>
      </c>
      <c r="P104" s="12" t="str">
        <f t="shared" si="18"/>
        <v/>
      </c>
      <c r="Q104" s="13" t="str">
        <f t="shared" ref="Q104:Q112" si="22">IFERROR((I104/H104)*K104,"")</f>
        <v/>
      </c>
      <c r="R104" s="13" t="str">
        <f t="shared" ref="R104:R112" si="23">IFERROR((J104/H104)*K104,"")</f>
        <v/>
      </c>
    </row>
    <row r="105" spans="1:18" ht="15.75" customHeight="1" x14ac:dyDescent="0.3">
      <c r="A105" s="7" t="s">
        <v>89</v>
      </c>
      <c r="B105" s="7" t="s">
        <v>40</v>
      </c>
      <c r="C105" s="24" t="s">
        <v>34</v>
      </c>
      <c r="D105" s="24" t="s">
        <v>39</v>
      </c>
      <c r="E105" s="8">
        <v>46055</v>
      </c>
      <c r="F105" s="8">
        <v>46062</v>
      </c>
      <c r="G105" s="9">
        <f t="shared" si="19"/>
        <v>8</v>
      </c>
      <c r="H105" s="10">
        <v>4</v>
      </c>
      <c r="I105" s="10">
        <v>0</v>
      </c>
      <c r="J105" s="10">
        <v>0</v>
      </c>
      <c r="K105" s="11">
        <f t="shared" si="13"/>
        <v>0.5</v>
      </c>
      <c r="L105" s="11">
        <f t="shared" si="14"/>
        <v>0</v>
      </c>
      <c r="M105" s="12">
        <f t="shared" si="15"/>
        <v>0</v>
      </c>
      <c r="N105" s="11">
        <f t="shared" si="16"/>
        <v>0</v>
      </c>
      <c r="O105" s="12" t="str">
        <f t="shared" si="17"/>
        <v/>
      </c>
      <c r="P105" s="12">
        <f t="shared" si="18"/>
        <v>0</v>
      </c>
      <c r="Q105" s="13">
        <f t="shared" si="22"/>
        <v>0</v>
      </c>
      <c r="R105" s="13">
        <f t="shared" si="23"/>
        <v>0</v>
      </c>
    </row>
    <row r="106" spans="1:18" ht="15.75" customHeight="1" x14ac:dyDescent="0.3">
      <c r="A106" s="7" t="s">
        <v>89</v>
      </c>
      <c r="B106" s="7" t="s">
        <v>92</v>
      </c>
      <c r="C106" s="24" t="s">
        <v>34</v>
      </c>
      <c r="D106" s="24" t="s">
        <v>76</v>
      </c>
      <c r="E106" s="8">
        <v>46055</v>
      </c>
      <c r="F106" s="8">
        <v>46062</v>
      </c>
      <c r="G106" s="9">
        <f t="shared" si="19"/>
        <v>8</v>
      </c>
      <c r="H106" s="10">
        <v>35</v>
      </c>
      <c r="I106" s="10">
        <v>5</v>
      </c>
      <c r="J106" s="10">
        <v>4</v>
      </c>
      <c r="K106" s="11">
        <f t="shared" si="13"/>
        <v>4.375</v>
      </c>
      <c r="L106" s="11">
        <f t="shared" si="14"/>
        <v>0.625</v>
      </c>
      <c r="M106" s="12">
        <f t="shared" si="15"/>
        <v>0.14285714285714285</v>
      </c>
      <c r="N106" s="11">
        <f t="shared" si="16"/>
        <v>0.5</v>
      </c>
      <c r="O106" s="12">
        <f t="shared" si="17"/>
        <v>0.8</v>
      </c>
      <c r="P106" s="12">
        <f t="shared" si="18"/>
        <v>0.11428571428571428</v>
      </c>
      <c r="Q106" s="13">
        <f t="shared" si="22"/>
        <v>0.625</v>
      </c>
      <c r="R106" s="13">
        <f t="shared" si="23"/>
        <v>0.5</v>
      </c>
    </row>
    <row r="107" spans="1:18" ht="15.75" customHeight="1" x14ac:dyDescent="0.3">
      <c r="A107" s="7" t="s">
        <v>89</v>
      </c>
      <c r="B107" s="7" t="s">
        <v>45</v>
      </c>
      <c r="C107" s="24" t="s">
        <v>34</v>
      </c>
      <c r="D107" s="24" t="s">
        <v>44</v>
      </c>
      <c r="E107" s="8">
        <v>46055</v>
      </c>
      <c r="F107" s="8">
        <v>46062</v>
      </c>
      <c r="G107" s="9">
        <f t="shared" si="19"/>
        <v>8</v>
      </c>
      <c r="H107" s="10">
        <v>629</v>
      </c>
      <c r="I107" s="10">
        <v>77</v>
      </c>
      <c r="J107" s="10">
        <v>56</v>
      </c>
      <c r="K107" s="11">
        <f t="shared" si="13"/>
        <v>78.625</v>
      </c>
      <c r="L107" s="11">
        <f t="shared" si="14"/>
        <v>9.625</v>
      </c>
      <c r="M107" s="12">
        <f t="shared" si="15"/>
        <v>0.12241653418124006</v>
      </c>
      <c r="N107" s="11">
        <f t="shared" si="16"/>
        <v>7</v>
      </c>
      <c r="O107" s="12">
        <f t="shared" si="17"/>
        <v>0.72727272727272729</v>
      </c>
      <c r="P107" s="12">
        <f t="shared" si="18"/>
        <v>8.9030206677265494E-2</v>
      </c>
      <c r="Q107" s="13">
        <f t="shared" si="22"/>
        <v>9.625</v>
      </c>
      <c r="R107" s="13">
        <f t="shared" si="23"/>
        <v>6.9999999999999991</v>
      </c>
    </row>
    <row r="108" spans="1:18" ht="15.75" customHeight="1" x14ac:dyDescent="0.3">
      <c r="A108" s="7" t="s">
        <v>89</v>
      </c>
      <c r="B108" s="7" t="s">
        <v>43</v>
      </c>
      <c r="C108" s="24" t="s">
        <v>34</v>
      </c>
      <c r="D108" s="24" t="s">
        <v>44</v>
      </c>
      <c r="E108" s="8">
        <v>46055</v>
      </c>
      <c r="F108" s="8">
        <v>46062</v>
      </c>
      <c r="G108" s="9">
        <f t="shared" si="19"/>
        <v>8</v>
      </c>
      <c r="H108" s="10">
        <v>431</v>
      </c>
      <c r="I108" s="10">
        <v>56</v>
      </c>
      <c r="J108" s="10">
        <v>37</v>
      </c>
      <c r="K108" s="11">
        <f t="shared" si="13"/>
        <v>53.875</v>
      </c>
      <c r="L108" s="11">
        <f t="shared" si="14"/>
        <v>7</v>
      </c>
      <c r="M108" s="12">
        <f t="shared" si="15"/>
        <v>0.12993039443155452</v>
      </c>
      <c r="N108" s="11">
        <f t="shared" si="16"/>
        <v>4.625</v>
      </c>
      <c r="O108" s="12">
        <f t="shared" si="17"/>
        <v>0.6607142857142857</v>
      </c>
      <c r="P108" s="12">
        <f t="shared" si="18"/>
        <v>8.584686774941995E-2</v>
      </c>
      <c r="Q108" s="13">
        <f t="shared" si="22"/>
        <v>7</v>
      </c>
      <c r="R108" s="13">
        <f t="shared" si="23"/>
        <v>4.625</v>
      </c>
    </row>
    <row r="109" spans="1:18" ht="15.75" customHeight="1" x14ac:dyDescent="0.3">
      <c r="A109" s="7" t="s">
        <v>89</v>
      </c>
      <c r="B109" s="7" t="s">
        <v>97</v>
      </c>
      <c r="C109" s="24" t="s">
        <v>47</v>
      </c>
      <c r="D109" s="24" t="s">
        <v>53</v>
      </c>
      <c r="E109" s="8">
        <v>46055</v>
      </c>
      <c r="F109" s="8">
        <v>46062</v>
      </c>
      <c r="G109" s="9">
        <f t="shared" si="19"/>
        <v>8</v>
      </c>
      <c r="H109" s="10">
        <v>154</v>
      </c>
      <c r="I109" s="10">
        <v>63</v>
      </c>
      <c r="J109" s="10">
        <v>47</v>
      </c>
      <c r="K109" s="11">
        <f t="shared" si="13"/>
        <v>19.25</v>
      </c>
      <c r="L109" s="11">
        <f t="shared" si="14"/>
        <v>7.875</v>
      </c>
      <c r="M109" s="12">
        <f t="shared" si="15"/>
        <v>0.40909090909090912</v>
      </c>
      <c r="N109" s="11">
        <f t="shared" si="16"/>
        <v>5.875</v>
      </c>
      <c r="O109" s="12">
        <f t="shared" si="17"/>
        <v>0.74603174603174605</v>
      </c>
      <c r="P109" s="12">
        <f t="shared" si="18"/>
        <v>0.30519480519480519</v>
      </c>
      <c r="Q109" s="13">
        <f t="shared" si="22"/>
        <v>7.8750000000000009</v>
      </c>
      <c r="R109" s="13">
        <f t="shared" si="23"/>
        <v>5.875</v>
      </c>
    </row>
    <row r="110" spans="1:18" ht="15.75" customHeight="1" x14ac:dyDescent="0.3">
      <c r="A110" s="7" t="s">
        <v>89</v>
      </c>
      <c r="B110" s="7" t="s">
        <v>98</v>
      </c>
      <c r="C110" s="24" t="s">
        <v>47</v>
      </c>
      <c r="D110" s="24" t="s">
        <v>53</v>
      </c>
      <c r="E110" s="8">
        <v>46055</v>
      </c>
      <c r="F110" s="8">
        <v>46062</v>
      </c>
      <c r="G110" s="9">
        <f t="shared" si="19"/>
        <v>8</v>
      </c>
      <c r="H110" s="10">
        <v>33</v>
      </c>
      <c r="I110" s="10">
        <v>9</v>
      </c>
      <c r="J110" s="10">
        <v>7</v>
      </c>
      <c r="K110" s="11">
        <f t="shared" si="13"/>
        <v>4.125</v>
      </c>
      <c r="L110" s="11">
        <f t="shared" si="14"/>
        <v>1.125</v>
      </c>
      <c r="M110" s="12">
        <f t="shared" si="15"/>
        <v>0.27272727272727271</v>
      </c>
      <c r="N110" s="11">
        <f t="shared" si="16"/>
        <v>0.875</v>
      </c>
      <c r="O110" s="12">
        <f t="shared" si="17"/>
        <v>0.77777777777777779</v>
      </c>
      <c r="P110" s="12">
        <f t="shared" si="18"/>
        <v>0.21212121212121213</v>
      </c>
      <c r="Q110" s="13">
        <f t="shared" si="22"/>
        <v>1.125</v>
      </c>
      <c r="R110" s="13">
        <f t="shared" si="23"/>
        <v>0.875</v>
      </c>
    </row>
    <row r="111" spans="1:18" ht="15.75" customHeight="1" x14ac:dyDescent="0.3">
      <c r="A111" s="7" t="s">
        <v>89</v>
      </c>
      <c r="B111" s="7" t="s">
        <v>99</v>
      </c>
      <c r="C111" s="24" t="s">
        <v>47</v>
      </c>
      <c r="D111" s="24" t="s">
        <v>56</v>
      </c>
      <c r="E111" s="8">
        <v>46055</v>
      </c>
      <c r="F111" s="8">
        <v>46062</v>
      </c>
      <c r="G111" s="9">
        <f t="shared" si="19"/>
        <v>8</v>
      </c>
      <c r="H111" s="10">
        <v>224</v>
      </c>
      <c r="I111" s="10">
        <v>87</v>
      </c>
      <c r="J111" s="10">
        <v>63</v>
      </c>
      <c r="K111" s="11">
        <f t="shared" si="13"/>
        <v>28</v>
      </c>
      <c r="L111" s="11">
        <f t="shared" si="14"/>
        <v>10.875</v>
      </c>
      <c r="M111" s="12">
        <f t="shared" si="15"/>
        <v>0.38839285714285715</v>
      </c>
      <c r="N111" s="11">
        <f t="shared" si="16"/>
        <v>7.875</v>
      </c>
      <c r="O111" s="12">
        <f t="shared" si="17"/>
        <v>0.72413793103448276</v>
      </c>
      <c r="P111" s="12">
        <f t="shared" si="18"/>
        <v>0.28125</v>
      </c>
      <c r="Q111" s="13">
        <f t="shared" si="22"/>
        <v>10.875</v>
      </c>
      <c r="R111" s="13">
        <f t="shared" si="23"/>
        <v>7.875</v>
      </c>
    </row>
    <row r="112" spans="1:18" ht="15.75" customHeight="1" x14ac:dyDescent="0.3">
      <c r="A112" s="7" t="s">
        <v>89</v>
      </c>
      <c r="B112" s="7" t="s">
        <v>100</v>
      </c>
      <c r="C112" s="24" t="s">
        <v>47</v>
      </c>
      <c r="D112" s="24" t="s">
        <v>56</v>
      </c>
      <c r="E112" s="8">
        <v>46055</v>
      </c>
      <c r="F112" s="8">
        <v>46062</v>
      </c>
      <c r="G112" s="9">
        <f t="shared" si="19"/>
        <v>8</v>
      </c>
      <c r="H112" s="10">
        <v>1</v>
      </c>
      <c r="I112" s="10">
        <v>1</v>
      </c>
      <c r="J112" s="10">
        <v>1</v>
      </c>
      <c r="K112" s="11">
        <f t="shared" si="13"/>
        <v>0.125</v>
      </c>
      <c r="L112" s="11">
        <f t="shared" si="14"/>
        <v>0.125</v>
      </c>
      <c r="M112" s="12">
        <f t="shared" si="15"/>
        <v>1</v>
      </c>
      <c r="N112" s="11">
        <f t="shared" si="16"/>
        <v>0.125</v>
      </c>
      <c r="O112" s="12">
        <f t="shared" si="17"/>
        <v>1</v>
      </c>
      <c r="P112" s="12">
        <f t="shared" si="18"/>
        <v>1</v>
      </c>
      <c r="Q112" s="13">
        <f t="shared" si="22"/>
        <v>0.125</v>
      </c>
      <c r="R112" s="13">
        <f t="shared" si="23"/>
        <v>0.125</v>
      </c>
    </row>
    <row r="113" spans="1:18" ht="15.75" customHeight="1" x14ac:dyDescent="0.3">
      <c r="A113" s="7" t="s">
        <v>89</v>
      </c>
      <c r="B113" s="7" t="s">
        <v>101</v>
      </c>
      <c r="C113" s="24" t="s">
        <v>58</v>
      </c>
      <c r="D113" s="24" t="s">
        <v>442</v>
      </c>
      <c r="E113" s="8">
        <v>46055</v>
      </c>
      <c r="F113" s="8">
        <v>46062</v>
      </c>
      <c r="G113" s="9">
        <f t="shared" si="19"/>
        <v>8</v>
      </c>
      <c r="H113" s="10">
        <v>24</v>
      </c>
      <c r="I113" s="10">
        <v>6</v>
      </c>
      <c r="J113" s="10">
        <v>4</v>
      </c>
      <c r="K113" s="11">
        <f t="shared" si="13"/>
        <v>3</v>
      </c>
      <c r="L113" s="11">
        <f t="shared" si="14"/>
        <v>0.75</v>
      </c>
      <c r="M113" s="12">
        <f t="shared" si="15"/>
        <v>0.25</v>
      </c>
      <c r="N113" s="11">
        <f t="shared" si="16"/>
        <v>0.5</v>
      </c>
      <c r="O113" s="12">
        <f t="shared" si="17"/>
        <v>0.66666666666666663</v>
      </c>
      <c r="P113" s="12">
        <f t="shared" si="18"/>
        <v>0.16666666666666666</v>
      </c>
    </row>
    <row r="114" spans="1:18" ht="15.75" customHeight="1" x14ac:dyDescent="0.3">
      <c r="A114" s="7" t="s">
        <v>89</v>
      </c>
      <c r="B114" s="7" t="s">
        <v>102</v>
      </c>
      <c r="C114" s="24" t="s">
        <v>58</v>
      </c>
      <c r="D114" s="24" t="s">
        <v>103</v>
      </c>
      <c r="E114" s="8">
        <v>46055</v>
      </c>
      <c r="F114" s="8">
        <v>46062</v>
      </c>
      <c r="G114" s="9">
        <f t="shared" si="19"/>
        <v>8</v>
      </c>
      <c r="H114" s="10">
        <v>111</v>
      </c>
      <c r="I114" s="10">
        <v>24</v>
      </c>
      <c r="J114" s="10">
        <v>16</v>
      </c>
      <c r="K114" s="11">
        <f t="shared" si="13"/>
        <v>13.875</v>
      </c>
      <c r="L114" s="11">
        <f t="shared" si="14"/>
        <v>3</v>
      </c>
      <c r="M114" s="12">
        <f t="shared" si="15"/>
        <v>0.21621621621621623</v>
      </c>
      <c r="N114" s="11">
        <f t="shared" si="16"/>
        <v>2</v>
      </c>
      <c r="O114" s="12">
        <f t="shared" si="17"/>
        <v>0.66666666666666663</v>
      </c>
      <c r="P114" s="12">
        <f t="shared" si="18"/>
        <v>0.14414414414414414</v>
      </c>
      <c r="Q114" s="13">
        <f t="shared" ref="Q114:Q122" si="24">IFERROR((I114/H114)*K114,"")</f>
        <v>3</v>
      </c>
      <c r="R114" s="13">
        <f t="shared" ref="R114:R122" si="25">IFERROR((J114/H114)*K114,"")</f>
        <v>2</v>
      </c>
    </row>
    <row r="115" spans="1:18" ht="15.75" customHeight="1" x14ac:dyDescent="0.3">
      <c r="A115" s="7" t="s">
        <v>89</v>
      </c>
      <c r="B115" s="7" t="s">
        <v>106</v>
      </c>
      <c r="C115" s="24" t="s">
        <v>58</v>
      </c>
      <c r="D115" s="24" t="s">
        <v>107</v>
      </c>
      <c r="E115" s="8">
        <v>46055</v>
      </c>
      <c r="F115" s="8">
        <v>46062</v>
      </c>
      <c r="G115" s="9">
        <f t="shared" si="19"/>
        <v>8</v>
      </c>
      <c r="H115" s="10">
        <v>8</v>
      </c>
      <c r="I115" s="10">
        <v>4</v>
      </c>
      <c r="J115" s="10">
        <v>2</v>
      </c>
      <c r="K115" s="11">
        <f t="shared" si="13"/>
        <v>1</v>
      </c>
      <c r="L115" s="11">
        <f t="shared" si="14"/>
        <v>0.5</v>
      </c>
      <c r="M115" s="12">
        <f t="shared" si="15"/>
        <v>0.5</v>
      </c>
      <c r="N115" s="11">
        <f t="shared" si="16"/>
        <v>0.25</v>
      </c>
      <c r="O115" s="12">
        <f t="shared" si="17"/>
        <v>0.5</v>
      </c>
      <c r="P115" s="12">
        <f t="shared" si="18"/>
        <v>0.25</v>
      </c>
      <c r="Q115" s="13">
        <f t="shared" si="24"/>
        <v>0.5</v>
      </c>
      <c r="R115" s="13">
        <f t="shared" si="25"/>
        <v>0.25</v>
      </c>
    </row>
    <row r="116" spans="1:18" ht="15.75" customHeight="1" x14ac:dyDescent="0.3">
      <c r="A116" s="7" t="s">
        <v>89</v>
      </c>
      <c r="B116" s="7" t="s">
        <v>87</v>
      </c>
      <c r="C116" s="24" t="s">
        <v>58</v>
      </c>
      <c r="D116" s="24" t="s">
        <v>64</v>
      </c>
      <c r="E116" s="8">
        <v>46055</v>
      </c>
      <c r="F116" s="8">
        <v>46062</v>
      </c>
      <c r="G116" s="9">
        <f t="shared" si="19"/>
        <v>8</v>
      </c>
      <c r="H116" s="10">
        <v>9</v>
      </c>
      <c r="I116" s="10">
        <v>3</v>
      </c>
      <c r="J116" s="10">
        <v>0</v>
      </c>
      <c r="K116" s="11">
        <f t="shared" si="13"/>
        <v>1.125</v>
      </c>
      <c r="L116" s="11">
        <f t="shared" si="14"/>
        <v>0.375</v>
      </c>
      <c r="M116" s="12">
        <f t="shared" si="15"/>
        <v>0.33333333333333331</v>
      </c>
      <c r="N116" s="11">
        <f t="shared" si="16"/>
        <v>0</v>
      </c>
      <c r="O116" s="12">
        <f t="shared" si="17"/>
        <v>0</v>
      </c>
      <c r="P116" s="12">
        <f t="shared" si="18"/>
        <v>0</v>
      </c>
      <c r="Q116" s="13">
        <f t="shared" si="24"/>
        <v>0.375</v>
      </c>
      <c r="R116" s="13">
        <f t="shared" si="25"/>
        <v>0</v>
      </c>
    </row>
    <row r="117" spans="1:18" ht="15.75" customHeight="1" x14ac:dyDescent="0.3">
      <c r="A117" s="7" t="s">
        <v>89</v>
      </c>
      <c r="B117" s="7" t="s">
        <v>435</v>
      </c>
      <c r="C117" s="24" t="s">
        <v>433</v>
      </c>
      <c r="D117" s="24" t="s">
        <v>433</v>
      </c>
      <c r="E117" s="8">
        <v>46055</v>
      </c>
      <c r="F117" s="8">
        <v>46062</v>
      </c>
      <c r="G117" s="9">
        <f t="shared" si="19"/>
        <v>8</v>
      </c>
      <c r="H117" s="10">
        <v>42</v>
      </c>
      <c r="I117" s="10">
        <v>16</v>
      </c>
      <c r="J117" s="10">
        <v>10</v>
      </c>
      <c r="K117" s="11">
        <f t="shared" si="13"/>
        <v>5.25</v>
      </c>
      <c r="L117" s="11">
        <f t="shared" si="14"/>
        <v>2</v>
      </c>
      <c r="M117" s="12">
        <f t="shared" si="15"/>
        <v>0.38095238095238093</v>
      </c>
      <c r="N117" s="11">
        <f t="shared" si="16"/>
        <v>1.25</v>
      </c>
      <c r="O117" s="12">
        <f t="shared" si="17"/>
        <v>0.625</v>
      </c>
      <c r="P117" s="12">
        <f t="shared" si="18"/>
        <v>0.23809523809523808</v>
      </c>
      <c r="Q117" s="13">
        <f t="shared" si="24"/>
        <v>2</v>
      </c>
      <c r="R117" s="13">
        <f t="shared" si="25"/>
        <v>1.25</v>
      </c>
    </row>
    <row r="118" spans="1:18" ht="15.75" customHeight="1" x14ac:dyDescent="0.3">
      <c r="A118" s="7" t="s">
        <v>89</v>
      </c>
      <c r="B118" s="7" t="s">
        <v>108</v>
      </c>
      <c r="C118" s="24" t="s">
        <v>58</v>
      </c>
      <c r="D118" s="24" t="s">
        <v>66</v>
      </c>
      <c r="E118" s="8">
        <v>46055</v>
      </c>
      <c r="F118" s="8">
        <v>46062</v>
      </c>
      <c r="G118" s="9">
        <f t="shared" si="19"/>
        <v>8</v>
      </c>
      <c r="H118" s="10">
        <v>471</v>
      </c>
      <c r="I118" s="10">
        <v>164</v>
      </c>
      <c r="J118" s="10">
        <v>81</v>
      </c>
      <c r="K118" s="11">
        <f t="shared" si="13"/>
        <v>58.875</v>
      </c>
      <c r="L118" s="11">
        <f t="shared" si="14"/>
        <v>20.5</v>
      </c>
      <c r="M118" s="12">
        <f t="shared" si="15"/>
        <v>0.34819532908704881</v>
      </c>
      <c r="N118" s="11">
        <f t="shared" si="16"/>
        <v>10.125</v>
      </c>
      <c r="O118" s="12">
        <f t="shared" si="17"/>
        <v>0.49390243902439024</v>
      </c>
      <c r="P118" s="12">
        <f t="shared" si="18"/>
        <v>0.17197452229299362</v>
      </c>
      <c r="Q118" s="13">
        <f t="shared" si="24"/>
        <v>20.5</v>
      </c>
      <c r="R118" s="13">
        <f t="shared" si="25"/>
        <v>10.125</v>
      </c>
    </row>
    <row r="119" spans="1:18" ht="15.75" customHeight="1" x14ac:dyDescent="0.3">
      <c r="A119" s="7" t="s">
        <v>89</v>
      </c>
      <c r="B119" s="7" t="s">
        <v>109</v>
      </c>
      <c r="C119" s="24" t="s">
        <v>58</v>
      </c>
      <c r="D119" s="24" t="s">
        <v>68</v>
      </c>
      <c r="E119" s="8">
        <v>46055</v>
      </c>
      <c r="F119" s="8">
        <v>46062</v>
      </c>
      <c r="G119" s="9">
        <f t="shared" si="19"/>
        <v>8</v>
      </c>
      <c r="H119" s="10">
        <v>35</v>
      </c>
      <c r="I119" s="10">
        <v>17</v>
      </c>
      <c r="J119" s="10">
        <v>12</v>
      </c>
      <c r="K119" s="11">
        <f t="shared" si="13"/>
        <v>4.375</v>
      </c>
      <c r="L119" s="11">
        <f t="shared" si="14"/>
        <v>2.125</v>
      </c>
      <c r="M119" s="12">
        <f t="shared" si="15"/>
        <v>0.48571428571428571</v>
      </c>
      <c r="N119" s="11">
        <f t="shared" si="16"/>
        <v>1.5</v>
      </c>
      <c r="O119" s="12">
        <f t="shared" si="17"/>
        <v>0.70588235294117652</v>
      </c>
      <c r="P119" s="12">
        <f t="shared" si="18"/>
        <v>0.34285714285714286</v>
      </c>
      <c r="Q119" s="13">
        <f t="shared" si="24"/>
        <v>2.125</v>
      </c>
      <c r="R119" s="13">
        <f t="shared" si="25"/>
        <v>1.5</v>
      </c>
    </row>
    <row r="120" spans="1:18" ht="15.75" customHeight="1" x14ac:dyDescent="0.3">
      <c r="A120" s="7" t="s">
        <v>89</v>
      </c>
      <c r="B120" s="7" t="s">
        <v>110</v>
      </c>
      <c r="C120" s="24" t="s">
        <v>58</v>
      </c>
      <c r="D120" s="24" t="s">
        <v>66</v>
      </c>
      <c r="E120" s="8">
        <v>46055</v>
      </c>
      <c r="F120" s="8">
        <v>46062</v>
      </c>
      <c r="G120" s="9">
        <f t="shared" si="19"/>
        <v>8</v>
      </c>
      <c r="H120" s="10">
        <v>15</v>
      </c>
      <c r="I120" s="10">
        <v>9</v>
      </c>
      <c r="J120" s="10">
        <v>3</v>
      </c>
      <c r="K120" s="11">
        <f t="shared" si="13"/>
        <v>1.875</v>
      </c>
      <c r="L120" s="11">
        <f t="shared" si="14"/>
        <v>1.125</v>
      </c>
      <c r="M120" s="12">
        <f t="shared" si="15"/>
        <v>0.6</v>
      </c>
      <c r="N120" s="11">
        <f t="shared" si="16"/>
        <v>0.375</v>
      </c>
      <c r="O120" s="12">
        <f t="shared" si="17"/>
        <v>0.33333333333333331</v>
      </c>
      <c r="P120" s="12">
        <f t="shared" si="18"/>
        <v>0.2</v>
      </c>
      <c r="Q120" s="13">
        <f t="shared" si="24"/>
        <v>1.125</v>
      </c>
      <c r="R120" s="13">
        <f t="shared" si="25"/>
        <v>0.375</v>
      </c>
    </row>
    <row r="121" spans="1:18" ht="15.75" customHeight="1" x14ac:dyDescent="0.3">
      <c r="A121" s="7" t="s">
        <v>89</v>
      </c>
      <c r="B121" s="7" t="s">
        <v>111</v>
      </c>
      <c r="C121" s="24" t="s">
        <v>58</v>
      </c>
      <c r="D121" s="24" t="s">
        <v>68</v>
      </c>
      <c r="E121" s="8">
        <v>46055</v>
      </c>
      <c r="F121" s="8">
        <v>46062</v>
      </c>
      <c r="G121" s="9">
        <f t="shared" si="19"/>
        <v>8</v>
      </c>
      <c r="H121" s="10">
        <v>3</v>
      </c>
      <c r="I121" s="10">
        <v>1</v>
      </c>
      <c r="J121" s="10">
        <v>1</v>
      </c>
      <c r="K121" s="11">
        <f t="shared" si="13"/>
        <v>0.375</v>
      </c>
      <c r="L121" s="11">
        <f t="shared" si="14"/>
        <v>0.125</v>
      </c>
      <c r="M121" s="12">
        <f t="shared" si="15"/>
        <v>0.33333333333333331</v>
      </c>
      <c r="N121" s="11">
        <f t="shared" si="16"/>
        <v>0.125</v>
      </c>
      <c r="O121" s="12">
        <f t="shared" si="17"/>
        <v>1</v>
      </c>
      <c r="P121" s="12">
        <f t="shared" si="18"/>
        <v>0.33333333333333331</v>
      </c>
      <c r="Q121" s="13">
        <f t="shared" si="24"/>
        <v>0.125</v>
      </c>
      <c r="R121" s="13">
        <f t="shared" si="25"/>
        <v>0.125</v>
      </c>
    </row>
    <row r="122" spans="1:18" ht="15.75" customHeight="1" x14ac:dyDescent="0.3">
      <c r="A122" s="7" t="s">
        <v>89</v>
      </c>
      <c r="B122" s="7" t="s">
        <v>112</v>
      </c>
      <c r="C122" s="24" t="s">
        <v>58</v>
      </c>
      <c r="D122" s="24" t="s">
        <v>66</v>
      </c>
      <c r="E122" s="8">
        <v>46055</v>
      </c>
      <c r="F122" s="8">
        <v>46062</v>
      </c>
      <c r="G122" s="9">
        <f t="shared" si="19"/>
        <v>8</v>
      </c>
      <c r="H122" s="10">
        <v>8</v>
      </c>
      <c r="I122" s="10">
        <v>4</v>
      </c>
      <c r="J122" s="10">
        <v>4</v>
      </c>
      <c r="K122" s="11">
        <f t="shared" si="13"/>
        <v>1</v>
      </c>
      <c r="L122" s="11">
        <f t="shared" si="14"/>
        <v>0.5</v>
      </c>
      <c r="M122" s="12">
        <f t="shared" si="15"/>
        <v>0.5</v>
      </c>
      <c r="N122" s="11">
        <f t="shared" si="16"/>
        <v>0.5</v>
      </c>
      <c r="O122" s="12">
        <f t="shared" si="17"/>
        <v>1</v>
      </c>
      <c r="P122" s="12">
        <f t="shared" si="18"/>
        <v>0.5</v>
      </c>
      <c r="Q122" s="13">
        <f t="shared" si="24"/>
        <v>0.5</v>
      </c>
      <c r="R122" s="13">
        <f t="shared" si="25"/>
        <v>0.5</v>
      </c>
    </row>
    <row r="123" spans="1:18" ht="15.75" customHeight="1" x14ac:dyDescent="0.3">
      <c r="A123" s="7" t="s">
        <v>89</v>
      </c>
      <c r="B123" s="7" t="s">
        <v>113</v>
      </c>
      <c r="C123" s="24" t="s">
        <v>58</v>
      </c>
      <c r="D123" s="24" t="s">
        <v>68</v>
      </c>
      <c r="E123" s="8">
        <v>46055</v>
      </c>
      <c r="F123" s="8">
        <v>46062</v>
      </c>
      <c r="G123" s="9">
        <f t="shared" si="19"/>
        <v>8</v>
      </c>
      <c r="H123" s="10">
        <v>6</v>
      </c>
      <c r="I123" s="10">
        <v>1</v>
      </c>
      <c r="J123" s="10">
        <v>0</v>
      </c>
      <c r="K123" s="11">
        <f t="shared" si="13"/>
        <v>0.75</v>
      </c>
      <c r="L123" s="11">
        <f t="shared" si="14"/>
        <v>0.125</v>
      </c>
      <c r="M123" s="12">
        <f t="shared" si="15"/>
        <v>0.16666666666666666</v>
      </c>
      <c r="N123" s="11">
        <f t="shared" si="16"/>
        <v>0</v>
      </c>
      <c r="O123" s="12">
        <f t="shared" si="17"/>
        <v>0</v>
      </c>
      <c r="P123" s="12">
        <f t="shared" si="18"/>
        <v>0</v>
      </c>
      <c r="Q123" s="13">
        <f t="shared" ref="Q123:Q146" si="26">IFERROR((I123/H123)*K123,"")</f>
        <v>0.125</v>
      </c>
      <c r="R123" s="13">
        <f t="shared" ref="R123:R146" si="27">IFERROR((J123/H123)*K123,"")</f>
        <v>0</v>
      </c>
    </row>
    <row r="124" spans="1:18" ht="15.75" customHeight="1" x14ac:dyDescent="0.3">
      <c r="A124" s="7" t="s">
        <v>89</v>
      </c>
      <c r="B124" s="7" t="s">
        <v>114</v>
      </c>
      <c r="C124" s="24" t="s">
        <v>58</v>
      </c>
      <c r="D124" s="24" t="s">
        <v>74</v>
      </c>
      <c r="E124" s="8">
        <v>46055</v>
      </c>
      <c r="F124" s="8">
        <v>46062</v>
      </c>
      <c r="G124" s="9">
        <f t="shared" si="19"/>
        <v>8</v>
      </c>
      <c r="H124" s="10">
        <v>44</v>
      </c>
      <c r="I124" s="10">
        <v>27</v>
      </c>
      <c r="J124" s="10">
        <v>18</v>
      </c>
      <c r="K124" s="11">
        <f t="shared" si="13"/>
        <v>5.5</v>
      </c>
      <c r="L124" s="11">
        <f t="shared" si="14"/>
        <v>3.375</v>
      </c>
      <c r="M124" s="12">
        <f t="shared" si="15"/>
        <v>0.61363636363636365</v>
      </c>
      <c r="N124" s="11">
        <f t="shared" si="16"/>
        <v>2.25</v>
      </c>
      <c r="O124" s="12">
        <f t="shared" si="17"/>
        <v>0.66666666666666663</v>
      </c>
      <c r="P124" s="12">
        <f t="shared" si="18"/>
        <v>0.40909090909090912</v>
      </c>
      <c r="Q124" s="13">
        <f t="shared" si="26"/>
        <v>3.375</v>
      </c>
      <c r="R124" s="13">
        <f t="shared" si="27"/>
        <v>2.25</v>
      </c>
    </row>
    <row r="125" spans="1:18" ht="15.75" customHeight="1" x14ac:dyDescent="0.3">
      <c r="A125" s="7" t="s">
        <v>89</v>
      </c>
      <c r="B125" s="7" t="s">
        <v>115</v>
      </c>
      <c r="C125" s="24" t="s">
        <v>58</v>
      </c>
      <c r="D125" s="24" t="s">
        <v>74</v>
      </c>
      <c r="E125" s="8">
        <v>46055</v>
      </c>
      <c r="F125" s="8">
        <v>46062</v>
      </c>
      <c r="G125" s="9">
        <f t="shared" si="19"/>
        <v>8</v>
      </c>
      <c r="H125" s="10">
        <v>394</v>
      </c>
      <c r="I125" s="10">
        <v>151</v>
      </c>
      <c r="J125" s="10">
        <v>84</v>
      </c>
      <c r="K125" s="11">
        <f t="shared" si="13"/>
        <v>49.25</v>
      </c>
      <c r="L125" s="11">
        <f t="shared" si="14"/>
        <v>18.875</v>
      </c>
      <c r="M125" s="12">
        <f t="shared" si="15"/>
        <v>0.38324873096446699</v>
      </c>
      <c r="N125" s="11">
        <f t="shared" si="16"/>
        <v>10.5</v>
      </c>
      <c r="O125" s="12">
        <f t="shared" si="17"/>
        <v>0.55629139072847678</v>
      </c>
      <c r="P125" s="12">
        <f t="shared" si="18"/>
        <v>0.21319796954314721</v>
      </c>
      <c r="Q125" s="13">
        <f t="shared" si="26"/>
        <v>18.875</v>
      </c>
      <c r="R125" s="13">
        <f t="shared" si="27"/>
        <v>10.5</v>
      </c>
    </row>
    <row r="126" spans="1:18" ht="15.75" customHeight="1" x14ac:dyDescent="0.3">
      <c r="A126" s="7" t="s">
        <v>89</v>
      </c>
      <c r="B126" s="7" t="s">
        <v>116</v>
      </c>
      <c r="C126" s="24" t="s">
        <v>58</v>
      </c>
      <c r="D126" s="24" t="s">
        <v>59</v>
      </c>
      <c r="E126" s="8">
        <v>46055</v>
      </c>
      <c r="F126" s="8">
        <v>46062</v>
      </c>
      <c r="G126" s="9">
        <f t="shared" si="19"/>
        <v>8</v>
      </c>
      <c r="H126" s="10">
        <v>9</v>
      </c>
      <c r="I126" s="10">
        <v>3</v>
      </c>
      <c r="J126" s="10">
        <v>2</v>
      </c>
      <c r="K126" s="11">
        <f t="shared" si="13"/>
        <v>1.125</v>
      </c>
      <c r="L126" s="11">
        <f t="shared" si="14"/>
        <v>0.375</v>
      </c>
      <c r="M126" s="12">
        <f t="shared" si="15"/>
        <v>0.33333333333333331</v>
      </c>
      <c r="N126" s="11">
        <f t="shared" si="16"/>
        <v>0.25</v>
      </c>
      <c r="O126" s="12">
        <f t="shared" si="17"/>
        <v>0.66666666666666663</v>
      </c>
      <c r="P126" s="12">
        <f t="shared" si="18"/>
        <v>0.22222222222222221</v>
      </c>
      <c r="Q126" s="13">
        <f t="shared" si="26"/>
        <v>0.375</v>
      </c>
      <c r="R126" s="13">
        <f t="shared" si="27"/>
        <v>0.25</v>
      </c>
    </row>
    <row r="127" spans="1:18" ht="15.75" customHeight="1" x14ac:dyDescent="0.3">
      <c r="A127" s="7" t="s">
        <v>130</v>
      </c>
      <c r="B127" s="7" t="s">
        <v>114</v>
      </c>
      <c r="C127" s="24" t="s">
        <v>58</v>
      </c>
      <c r="D127" s="24" t="s">
        <v>74</v>
      </c>
      <c r="E127" s="8">
        <v>46065</v>
      </c>
      <c r="F127" s="8">
        <v>46070</v>
      </c>
      <c r="G127" s="9">
        <f t="shared" si="19"/>
        <v>6</v>
      </c>
      <c r="H127" s="10">
        <v>49</v>
      </c>
      <c r="I127" s="10">
        <v>17</v>
      </c>
      <c r="J127" s="10">
        <v>10</v>
      </c>
      <c r="K127" s="11">
        <f t="shared" si="13"/>
        <v>8.1666666666666661</v>
      </c>
      <c r="L127" s="11">
        <f t="shared" si="14"/>
        <v>2.8333333333333335</v>
      </c>
      <c r="M127" s="12">
        <f t="shared" si="15"/>
        <v>0.34693877551020408</v>
      </c>
      <c r="N127" s="11">
        <f t="shared" si="16"/>
        <v>1.6666666666666667</v>
      </c>
      <c r="O127" s="12">
        <f t="shared" si="17"/>
        <v>0.58823529411764708</v>
      </c>
      <c r="P127" s="12">
        <f t="shared" si="18"/>
        <v>0.20408163265306123</v>
      </c>
      <c r="Q127" s="13">
        <f t="shared" si="26"/>
        <v>2.833333333333333</v>
      </c>
      <c r="R127" s="13">
        <f t="shared" si="27"/>
        <v>1.6666666666666665</v>
      </c>
    </row>
    <row r="128" spans="1:18" ht="15.75" customHeight="1" x14ac:dyDescent="0.3">
      <c r="A128" s="7" t="s">
        <v>130</v>
      </c>
      <c r="B128" s="7" t="s">
        <v>73</v>
      </c>
      <c r="C128" s="24" t="s">
        <v>58</v>
      </c>
      <c r="D128" s="24" t="s">
        <v>74</v>
      </c>
      <c r="E128" s="8">
        <v>46065</v>
      </c>
      <c r="F128" s="8">
        <v>46070</v>
      </c>
      <c r="G128" s="9">
        <f t="shared" si="19"/>
        <v>6</v>
      </c>
      <c r="H128" s="10">
        <v>120</v>
      </c>
      <c r="I128" s="10">
        <v>49</v>
      </c>
      <c r="J128" s="10">
        <v>29</v>
      </c>
      <c r="K128" s="11">
        <f t="shared" si="13"/>
        <v>20</v>
      </c>
      <c r="L128" s="11">
        <f t="shared" si="14"/>
        <v>8.1666666666666661</v>
      </c>
      <c r="M128" s="12">
        <f t="shared" si="15"/>
        <v>0.40833333333333333</v>
      </c>
      <c r="N128" s="11">
        <f t="shared" si="16"/>
        <v>4.833333333333333</v>
      </c>
      <c r="O128" s="12">
        <f t="shared" si="17"/>
        <v>0.59183673469387754</v>
      </c>
      <c r="P128" s="12">
        <f t="shared" si="18"/>
        <v>0.24166666666666667</v>
      </c>
      <c r="Q128" s="13">
        <f t="shared" si="26"/>
        <v>8.1666666666666661</v>
      </c>
      <c r="R128" s="13">
        <f t="shared" si="27"/>
        <v>4.833333333333333</v>
      </c>
    </row>
    <row r="129" spans="1:18" ht="15.75" customHeight="1" x14ac:dyDescent="0.3">
      <c r="A129" s="7" t="s">
        <v>130</v>
      </c>
      <c r="B129" s="7" t="s">
        <v>115</v>
      </c>
      <c r="C129" s="24" t="s">
        <v>58</v>
      </c>
      <c r="D129" s="24" t="s">
        <v>74</v>
      </c>
      <c r="E129" s="8">
        <v>46065</v>
      </c>
      <c r="F129" s="8">
        <v>46070</v>
      </c>
      <c r="G129" s="9">
        <f t="shared" si="19"/>
        <v>6</v>
      </c>
      <c r="H129" s="10">
        <v>258</v>
      </c>
      <c r="I129" s="10">
        <v>82</v>
      </c>
      <c r="J129" s="10">
        <v>49</v>
      </c>
      <c r="K129" s="11">
        <f t="shared" si="13"/>
        <v>43</v>
      </c>
      <c r="L129" s="11">
        <f t="shared" si="14"/>
        <v>13.666666666666666</v>
      </c>
      <c r="M129" s="12">
        <f t="shared" si="15"/>
        <v>0.31782945736434109</v>
      </c>
      <c r="N129" s="11">
        <f t="shared" si="16"/>
        <v>8.1666666666666661</v>
      </c>
      <c r="O129" s="12">
        <f t="shared" si="17"/>
        <v>0.59756097560975607</v>
      </c>
      <c r="P129" s="12">
        <f t="shared" si="18"/>
        <v>0.18992248062015504</v>
      </c>
      <c r="Q129" s="13">
        <f t="shared" si="26"/>
        <v>13.666666666666668</v>
      </c>
      <c r="R129" s="13">
        <f t="shared" si="27"/>
        <v>8.1666666666666661</v>
      </c>
    </row>
    <row r="130" spans="1:18" ht="15.75" customHeight="1" x14ac:dyDescent="0.3">
      <c r="A130" s="7" t="s">
        <v>130</v>
      </c>
      <c r="B130" s="7" t="s">
        <v>131</v>
      </c>
      <c r="C130" s="24" t="s">
        <v>58</v>
      </c>
      <c r="D130" s="24" t="s">
        <v>74</v>
      </c>
      <c r="E130" s="8">
        <v>46065</v>
      </c>
      <c r="F130" s="8">
        <v>46070</v>
      </c>
      <c r="G130" s="9">
        <f t="shared" si="19"/>
        <v>6</v>
      </c>
      <c r="H130" s="10">
        <v>37</v>
      </c>
      <c r="I130" s="10">
        <v>17</v>
      </c>
      <c r="J130" s="10">
        <v>11</v>
      </c>
      <c r="K130" s="11">
        <f t="shared" si="13"/>
        <v>6.166666666666667</v>
      </c>
      <c r="L130" s="11">
        <f t="shared" si="14"/>
        <v>2.8333333333333335</v>
      </c>
      <c r="M130" s="12">
        <f t="shared" si="15"/>
        <v>0.45945945945945948</v>
      </c>
      <c r="N130" s="11">
        <f t="shared" si="16"/>
        <v>1.8333333333333333</v>
      </c>
      <c r="O130" s="12">
        <f t="shared" si="17"/>
        <v>0.6470588235294118</v>
      </c>
      <c r="P130" s="12">
        <f t="shared" si="18"/>
        <v>0.29729729729729731</v>
      </c>
      <c r="Q130" s="13">
        <f t="shared" si="26"/>
        <v>2.8333333333333335</v>
      </c>
      <c r="R130" s="13">
        <f t="shared" si="27"/>
        <v>1.8333333333333335</v>
      </c>
    </row>
    <row r="131" spans="1:18" ht="15.75" customHeight="1" x14ac:dyDescent="0.3">
      <c r="A131" s="7" t="s">
        <v>130</v>
      </c>
      <c r="B131" s="7" t="s">
        <v>75</v>
      </c>
      <c r="C131" s="24" t="s">
        <v>58</v>
      </c>
      <c r="D131" s="24" t="s">
        <v>74</v>
      </c>
      <c r="E131" s="8">
        <v>46065</v>
      </c>
      <c r="F131" s="8">
        <v>46070</v>
      </c>
      <c r="G131" s="9">
        <f t="shared" si="19"/>
        <v>6</v>
      </c>
      <c r="H131" s="10">
        <v>90</v>
      </c>
      <c r="I131" s="10">
        <v>39</v>
      </c>
      <c r="J131" s="10">
        <v>32</v>
      </c>
      <c r="K131" s="11">
        <f t="shared" ref="K131:K194" si="28">IFERROR(H131/G131,"")</f>
        <v>15</v>
      </c>
      <c r="L131" s="11">
        <f t="shared" ref="L131:L194" si="29">IFERROR(I131/G131,"")</f>
        <v>6.5</v>
      </c>
      <c r="M131" s="12">
        <f t="shared" ref="M131:M194" si="30">IFERROR(I131/H131,"")</f>
        <v>0.43333333333333335</v>
      </c>
      <c r="N131" s="11">
        <f t="shared" ref="N131:N194" si="31">IFERROR(J131/G131,"")</f>
        <v>5.333333333333333</v>
      </c>
      <c r="O131" s="12">
        <f t="shared" ref="O131:O194" si="32">IFERROR(J131/I131,"")</f>
        <v>0.82051282051282048</v>
      </c>
      <c r="P131" s="12">
        <f t="shared" ref="P131:P194" si="33">IFERROR(J131/H131,"")</f>
        <v>0.35555555555555557</v>
      </c>
      <c r="Q131" s="13">
        <f t="shared" si="26"/>
        <v>6.5</v>
      </c>
      <c r="R131" s="13">
        <f t="shared" si="27"/>
        <v>5.3333333333333339</v>
      </c>
    </row>
    <row r="132" spans="1:18" ht="15.75" customHeight="1" x14ac:dyDescent="0.3">
      <c r="A132" s="7" t="s">
        <v>130</v>
      </c>
      <c r="B132" s="7" t="s">
        <v>132</v>
      </c>
      <c r="C132" s="24" t="s">
        <v>58</v>
      </c>
      <c r="D132" s="24" t="s">
        <v>74</v>
      </c>
      <c r="E132" s="8">
        <v>46065</v>
      </c>
      <c r="F132" s="8">
        <v>46070</v>
      </c>
      <c r="G132" s="9">
        <f t="shared" ref="G132:G195" si="34">F132-E132+1</f>
        <v>6</v>
      </c>
      <c r="H132" s="10">
        <v>34</v>
      </c>
      <c r="I132" s="10">
        <v>14</v>
      </c>
      <c r="J132" s="10">
        <v>13</v>
      </c>
      <c r="K132" s="11">
        <f t="shared" si="28"/>
        <v>5.666666666666667</v>
      </c>
      <c r="L132" s="11">
        <f t="shared" si="29"/>
        <v>2.3333333333333335</v>
      </c>
      <c r="M132" s="12">
        <f t="shared" si="30"/>
        <v>0.41176470588235292</v>
      </c>
      <c r="N132" s="11">
        <f t="shared" si="31"/>
        <v>2.1666666666666665</v>
      </c>
      <c r="O132" s="12">
        <f t="shared" si="32"/>
        <v>0.9285714285714286</v>
      </c>
      <c r="P132" s="12">
        <f t="shared" si="33"/>
        <v>0.38235294117647056</v>
      </c>
      <c r="Q132" s="13">
        <f t="shared" si="26"/>
        <v>2.3333333333333335</v>
      </c>
      <c r="R132" s="13">
        <f t="shared" si="27"/>
        <v>2.1666666666666665</v>
      </c>
    </row>
    <row r="133" spans="1:18" ht="15.75" customHeight="1" x14ac:dyDescent="0.3">
      <c r="A133" s="7" t="s">
        <v>130</v>
      </c>
      <c r="B133" s="7" t="s">
        <v>133</v>
      </c>
      <c r="C133" s="24" t="s">
        <v>58</v>
      </c>
      <c r="D133" s="24" t="s">
        <v>74</v>
      </c>
      <c r="E133" s="8">
        <v>46065</v>
      </c>
      <c r="F133" s="8">
        <v>46070</v>
      </c>
      <c r="G133" s="9">
        <f t="shared" si="34"/>
        <v>6</v>
      </c>
      <c r="H133" s="10">
        <v>72</v>
      </c>
      <c r="I133" s="10">
        <v>37</v>
      </c>
      <c r="J133" s="10">
        <v>34</v>
      </c>
      <c r="K133" s="11">
        <f t="shared" si="28"/>
        <v>12</v>
      </c>
      <c r="L133" s="11">
        <f t="shared" si="29"/>
        <v>6.166666666666667</v>
      </c>
      <c r="M133" s="12">
        <f t="shared" si="30"/>
        <v>0.51388888888888884</v>
      </c>
      <c r="N133" s="11">
        <f t="shared" si="31"/>
        <v>5.666666666666667</v>
      </c>
      <c r="O133" s="12">
        <f t="shared" si="32"/>
        <v>0.91891891891891897</v>
      </c>
      <c r="P133" s="12">
        <f t="shared" si="33"/>
        <v>0.47222222222222221</v>
      </c>
      <c r="Q133" s="13">
        <f t="shared" si="26"/>
        <v>6.1666666666666661</v>
      </c>
      <c r="R133" s="13">
        <f t="shared" si="27"/>
        <v>5.6666666666666661</v>
      </c>
    </row>
    <row r="134" spans="1:18" ht="15.75" customHeight="1" x14ac:dyDescent="0.3">
      <c r="A134" s="7" t="s">
        <v>130</v>
      </c>
      <c r="B134" s="7" t="s">
        <v>134</v>
      </c>
      <c r="C134" s="24" t="s">
        <v>58</v>
      </c>
      <c r="D134" s="24" t="s">
        <v>66</v>
      </c>
      <c r="E134" s="8">
        <v>46065</v>
      </c>
      <c r="F134" s="8">
        <v>46070</v>
      </c>
      <c r="G134" s="9">
        <f t="shared" si="34"/>
        <v>6</v>
      </c>
      <c r="H134" s="10">
        <v>20</v>
      </c>
      <c r="I134" s="10">
        <v>10</v>
      </c>
      <c r="J134" s="10">
        <v>5</v>
      </c>
      <c r="K134" s="11">
        <f t="shared" si="28"/>
        <v>3.3333333333333335</v>
      </c>
      <c r="L134" s="11">
        <f t="shared" si="29"/>
        <v>1.6666666666666667</v>
      </c>
      <c r="M134" s="12">
        <f t="shared" si="30"/>
        <v>0.5</v>
      </c>
      <c r="N134" s="11">
        <f t="shared" si="31"/>
        <v>0.83333333333333337</v>
      </c>
      <c r="O134" s="12">
        <f t="shared" si="32"/>
        <v>0.5</v>
      </c>
      <c r="P134" s="12">
        <f t="shared" si="33"/>
        <v>0.25</v>
      </c>
      <c r="Q134" s="13">
        <f t="shared" si="26"/>
        <v>1.6666666666666667</v>
      </c>
      <c r="R134" s="13">
        <f t="shared" si="27"/>
        <v>0.83333333333333337</v>
      </c>
    </row>
    <row r="135" spans="1:18" ht="15.75" customHeight="1" x14ac:dyDescent="0.3">
      <c r="A135" s="7" t="s">
        <v>130</v>
      </c>
      <c r="B135" s="7" t="s">
        <v>135</v>
      </c>
      <c r="C135" s="24" t="s">
        <v>58</v>
      </c>
      <c r="D135" s="24" t="s">
        <v>66</v>
      </c>
      <c r="E135" s="8">
        <v>46065</v>
      </c>
      <c r="F135" s="8">
        <v>46070</v>
      </c>
      <c r="G135" s="9">
        <f t="shared" si="34"/>
        <v>6</v>
      </c>
      <c r="H135" s="10">
        <v>105</v>
      </c>
      <c r="I135" s="10">
        <v>53</v>
      </c>
      <c r="J135" s="10">
        <v>41</v>
      </c>
      <c r="K135" s="11">
        <f t="shared" si="28"/>
        <v>17.5</v>
      </c>
      <c r="L135" s="11">
        <f t="shared" si="29"/>
        <v>8.8333333333333339</v>
      </c>
      <c r="M135" s="12">
        <f t="shared" si="30"/>
        <v>0.50476190476190474</v>
      </c>
      <c r="N135" s="11">
        <f t="shared" si="31"/>
        <v>6.833333333333333</v>
      </c>
      <c r="O135" s="12">
        <f t="shared" si="32"/>
        <v>0.77358490566037741</v>
      </c>
      <c r="P135" s="12">
        <f t="shared" si="33"/>
        <v>0.39047619047619048</v>
      </c>
      <c r="Q135" s="13">
        <f t="shared" si="26"/>
        <v>8.8333333333333321</v>
      </c>
      <c r="R135" s="13">
        <f t="shared" si="27"/>
        <v>6.833333333333333</v>
      </c>
    </row>
    <row r="136" spans="1:18" ht="15.75" customHeight="1" x14ac:dyDescent="0.3">
      <c r="A136" s="7" t="s">
        <v>130</v>
      </c>
      <c r="B136" s="7" t="s">
        <v>65</v>
      </c>
      <c r="C136" s="24" t="s">
        <v>58</v>
      </c>
      <c r="D136" s="24" t="s">
        <v>66</v>
      </c>
      <c r="E136" s="8">
        <v>46065</v>
      </c>
      <c r="F136" s="8">
        <v>46070</v>
      </c>
      <c r="G136" s="9">
        <f t="shared" si="34"/>
        <v>6</v>
      </c>
      <c r="H136" s="10">
        <v>112</v>
      </c>
      <c r="I136" s="10">
        <v>30</v>
      </c>
      <c r="J136" s="10">
        <v>18</v>
      </c>
      <c r="K136" s="11">
        <f t="shared" si="28"/>
        <v>18.666666666666668</v>
      </c>
      <c r="L136" s="11">
        <f t="shared" si="29"/>
        <v>5</v>
      </c>
      <c r="M136" s="12">
        <f t="shared" si="30"/>
        <v>0.26785714285714285</v>
      </c>
      <c r="N136" s="11">
        <f t="shared" si="31"/>
        <v>3</v>
      </c>
      <c r="O136" s="12">
        <f t="shared" si="32"/>
        <v>0.6</v>
      </c>
      <c r="P136" s="12">
        <f t="shared" si="33"/>
        <v>0.16071428571428573</v>
      </c>
      <c r="Q136" s="13">
        <f t="shared" si="26"/>
        <v>5</v>
      </c>
      <c r="R136" s="13">
        <f t="shared" si="27"/>
        <v>3.0000000000000004</v>
      </c>
    </row>
    <row r="137" spans="1:18" ht="15.75" customHeight="1" x14ac:dyDescent="0.3">
      <c r="A137" s="7" t="s">
        <v>130</v>
      </c>
      <c r="B137" s="7" t="s">
        <v>67</v>
      </c>
      <c r="C137" s="24" t="s">
        <v>58</v>
      </c>
      <c r="D137" s="24" t="s">
        <v>68</v>
      </c>
      <c r="E137" s="8">
        <v>46065</v>
      </c>
      <c r="F137" s="8">
        <v>46070</v>
      </c>
      <c r="G137" s="9">
        <f t="shared" si="34"/>
        <v>6</v>
      </c>
      <c r="H137" s="10">
        <v>8</v>
      </c>
      <c r="I137" s="10">
        <v>3</v>
      </c>
      <c r="J137" s="10">
        <v>3</v>
      </c>
      <c r="K137" s="11">
        <f t="shared" si="28"/>
        <v>1.3333333333333333</v>
      </c>
      <c r="L137" s="11">
        <f t="shared" si="29"/>
        <v>0.5</v>
      </c>
      <c r="M137" s="12">
        <f t="shared" si="30"/>
        <v>0.375</v>
      </c>
      <c r="N137" s="11">
        <f t="shared" si="31"/>
        <v>0.5</v>
      </c>
      <c r="O137" s="12">
        <f t="shared" si="32"/>
        <v>1</v>
      </c>
      <c r="P137" s="12">
        <f t="shared" si="33"/>
        <v>0.375</v>
      </c>
      <c r="Q137" s="13">
        <f t="shared" si="26"/>
        <v>0.5</v>
      </c>
      <c r="R137" s="13">
        <f t="shared" si="27"/>
        <v>0.5</v>
      </c>
    </row>
    <row r="138" spans="1:18" ht="15.75" customHeight="1" x14ac:dyDescent="0.3">
      <c r="A138" s="7" t="s">
        <v>130</v>
      </c>
      <c r="B138" s="7" t="s">
        <v>71</v>
      </c>
      <c r="C138" s="24" t="s">
        <v>58</v>
      </c>
      <c r="D138" s="24" t="s">
        <v>66</v>
      </c>
      <c r="E138" s="8">
        <v>46065</v>
      </c>
      <c r="F138" s="8">
        <v>46070</v>
      </c>
      <c r="G138" s="9">
        <f t="shared" si="34"/>
        <v>6</v>
      </c>
      <c r="H138" s="10">
        <v>159</v>
      </c>
      <c r="I138" s="10">
        <v>40</v>
      </c>
      <c r="J138" s="10">
        <v>24</v>
      </c>
      <c r="K138" s="11">
        <f t="shared" si="28"/>
        <v>26.5</v>
      </c>
      <c r="L138" s="11">
        <f t="shared" si="29"/>
        <v>6.666666666666667</v>
      </c>
      <c r="M138" s="12">
        <f t="shared" si="30"/>
        <v>0.25157232704402516</v>
      </c>
      <c r="N138" s="11">
        <f t="shared" si="31"/>
        <v>4</v>
      </c>
      <c r="O138" s="12">
        <f t="shared" si="32"/>
        <v>0.6</v>
      </c>
      <c r="P138" s="12">
        <f t="shared" si="33"/>
        <v>0.15094339622641509</v>
      </c>
      <c r="Q138" s="13">
        <f t="shared" si="26"/>
        <v>6.666666666666667</v>
      </c>
      <c r="R138" s="13">
        <f t="shared" si="27"/>
        <v>4</v>
      </c>
    </row>
    <row r="139" spans="1:18" ht="15.75" customHeight="1" x14ac:dyDescent="0.3">
      <c r="A139" s="7" t="s">
        <v>130</v>
      </c>
      <c r="B139" s="7" t="s">
        <v>72</v>
      </c>
      <c r="C139" s="24" t="s">
        <v>58</v>
      </c>
      <c r="D139" s="24" t="s">
        <v>68</v>
      </c>
      <c r="E139" s="8">
        <v>46065</v>
      </c>
      <c r="F139" s="8">
        <v>46070</v>
      </c>
      <c r="G139" s="9">
        <f t="shared" si="34"/>
        <v>6</v>
      </c>
      <c r="H139" s="10">
        <v>21</v>
      </c>
      <c r="I139" s="10">
        <v>5</v>
      </c>
      <c r="J139" s="10">
        <v>4</v>
      </c>
      <c r="K139" s="11">
        <f t="shared" si="28"/>
        <v>3.5</v>
      </c>
      <c r="L139" s="11">
        <f t="shared" si="29"/>
        <v>0.83333333333333337</v>
      </c>
      <c r="M139" s="12">
        <f t="shared" si="30"/>
        <v>0.23809523809523808</v>
      </c>
      <c r="N139" s="11">
        <f t="shared" si="31"/>
        <v>0.66666666666666663</v>
      </c>
      <c r="O139" s="12">
        <f t="shared" si="32"/>
        <v>0.8</v>
      </c>
      <c r="P139" s="12">
        <f t="shared" si="33"/>
        <v>0.19047619047619047</v>
      </c>
      <c r="Q139" s="13">
        <f t="shared" si="26"/>
        <v>0.83333333333333326</v>
      </c>
      <c r="R139" s="13">
        <f t="shared" si="27"/>
        <v>0.66666666666666663</v>
      </c>
    </row>
    <row r="140" spans="1:18" ht="15.75" customHeight="1" x14ac:dyDescent="0.3">
      <c r="A140" s="7" t="s">
        <v>130</v>
      </c>
      <c r="B140" s="7" t="s">
        <v>110</v>
      </c>
      <c r="C140" s="24" t="s">
        <v>58</v>
      </c>
      <c r="D140" s="24" t="s">
        <v>66</v>
      </c>
      <c r="E140" s="8">
        <v>46065</v>
      </c>
      <c r="F140" s="8">
        <v>46070</v>
      </c>
      <c r="G140" s="9">
        <f t="shared" si="34"/>
        <v>6</v>
      </c>
      <c r="H140" s="10">
        <v>155</v>
      </c>
      <c r="I140" s="10">
        <v>45</v>
      </c>
      <c r="J140" s="10">
        <v>31</v>
      </c>
      <c r="K140" s="11">
        <f t="shared" si="28"/>
        <v>25.833333333333332</v>
      </c>
      <c r="L140" s="11">
        <f t="shared" si="29"/>
        <v>7.5</v>
      </c>
      <c r="M140" s="12">
        <f t="shared" si="30"/>
        <v>0.29032258064516131</v>
      </c>
      <c r="N140" s="11">
        <f t="shared" si="31"/>
        <v>5.166666666666667</v>
      </c>
      <c r="O140" s="12">
        <f t="shared" si="32"/>
        <v>0.68888888888888888</v>
      </c>
      <c r="P140" s="12">
        <f t="shared" si="33"/>
        <v>0.2</v>
      </c>
      <c r="Q140" s="13">
        <f t="shared" si="26"/>
        <v>7.5</v>
      </c>
      <c r="R140" s="13">
        <f t="shared" si="27"/>
        <v>5.166666666666667</v>
      </c>
    </row>
    <row r="141" spans="1:18" ht="15.75" customHeight="1" x14ac:dyDescent="0.3">
      <c r="A141" s="7" t="s">
        <v>130</v>
      </c>
      <c r="B141" s="7" t="s">
        <v>111</v>
      </c>
      <c r="C141" s="24" t="s">
        <v>58</v>
      </c>
      <c r="D141" s="24" t="s">
        <v>68</v>
      </c>
      <c r="E141" s="8">
        <v>46065</v>
      </c>
      <c r="F141" s="8">
        <v>46070</v>
      </c>
      <c r="G141" s="9">
        <f t="shared" si="34"/>
        <v>6</v>
      </c>
      <c r="H141" s="10">
        <v>17</v>
      </c>
      <c r="I141" s="10">
        <v>6</v>
      </c>
      <c r="J141" s="10">
        <v>5</v>
      </c>
      <c r="K141" s="11">
        <f t="shared" si="28"/>
        <v>2.8333333333333335</v>
      </c>
      <c r="L141" s="11">
        <f t="shared" si="29"/>
        <v>1</v>
      </c>
      <c r="M141" s="12">
        <f t="shared" si="30"/>
        <v>0.35294117647058826</v>
      </c>
      <c r="N141" s="11">
        <f t="shared" si="31"/>
        <v>0.83333333333333337</v>
      </c>
      <c r="O141" s="12">
        <f t="shared" si="32"/>
        <v>0.83333333333333337</v>
      </c>
      <c r="P141" s="12">
        <f t="shared" si="33"/>
        <v>0.29411764705882354</v>
      </c>
      <c r="Q141" s="13">
        <f t="shared" si="26"/>
        <v>1.0000000000000002</v>
      </c>
      <c r="R141" s="13">
        <f t="shared" si="27"/>
        <v>0.83333333333333337</v>
      </c>
    </row>
    <row r="142" spans="1:18" ht="15.75" customHeight="1" x14ac:dyDescent="0.3">
      <c r="A142" s="7" t="s">
        <v>130</v>
      </c>
      <c r="B142" s="7" t="s">
        <v>136</v>
      </c>
      <c r="C142" s="24" t="s">
        <v>58</v>
      </c>
      <c r="D142" s="24" t="s">
        <v>66</v>
      </c>
      <c r="E142" s="8">
        <v>46065</v>
      </c>
      <c r="F142" s="8">
        <v>46070</v>
      </c>
      <c r="G142" s="9">
        <f t="shared" si="34"/>
        <v>6</v>
      </c>
      <c r="H142" s="10">
        <v>77</v>
      </c>
      <c r="I142" s="10">
        <v>29</v>
      </c>
      <c r="J142" s="10">
        <v>20</v>
      </c>
      <c r="K142" s="11">
        <f t="shared" si="28"/>
        <v>12.833333333333334</v>
      </c>
      <c r="L142" s="11">
        <f t="shared" si="29"/>
        <v>4.833333333333333</v>
      </c>
      <c r="M142" s="12">
        <f t="shared" si="30"/>
        <v>0.37662337662337664</v>
      </c>
      <c r="N142" s="11">
        <f t="shared" si="31"/>
        <v>3.3333333333333335</v>
      </c>
      <c r="O142" s="12">
        <f t="shared" si="32"/>
        <v>0.68965517241379315</v>
      </c>
      <c r="P142" s="12">
        <f t="shared" si="33"/>
        <v>0.25974025974025972</v>
      </c>
      <c r="Q142" s="13">
        <f t="shared" si="26"/>
        <v>4.8333333333333339</v>
      </c>
      <c r="R142" s="13">
        <f t="shared" si="27"/>
        <v>3.333333333333333</v>
      </c>
    </row>
    <row r="143" spans="1:18" ht="15.75" customHeight="1" x14ac:dyDescent="0.3">
      <c r="A143" s="7" t="s">
        <v>130</v>
      </c>
      <c r="B143" s="7" t="s">
        <v>137</v>
      </c>
      <c r="C143" s="24" t="s">
        <v>58</v>
      </c>
      <c r="D143" s="24" t="s">
        <v>68</v>
      </c>
      <c r="E143" s="8">
        <v>46065</v>
      </c>
      <c r="F143" s="8">
        <v>46070</v>
      </c>
      <c r="G143" s="9">
        <f t="shared" si="34"/>
        <v>6</v>
      </c>
      <c r="H143" s="10">
        <v>7</v>
      </c>
      <c r="I143" s="10">
        <v>5</v>
      </c>
      <c r="J143" s="10">
        <v>5</v>
      </c>
      <c r="K143" s="11">
        <f t="shared" si="28"/>
        <v>1.1666666666666667</v>
      </c>
      <c r="L143" s="11">
        <f t="shared" si="29"/>
        <v>0.83333333333333337</v>
      </c>
      <c r="M143" s="12">
        <f t="shared" si="30"/>
        <v>0.7142857142857143</v>
      </c>
      <c r="N143" s="11">
        <f t="shared" si="31"/>
        <v>0.83333333333333337</v>
      </c>
      <c r="O143" s="12">
        <f t="shared" si="32"/>
        <v>1</v>
      </c>
      <c r="P143" s="12">
        <f t="shared" si="33"/>
        <v>0.7142857142857143</v>
      </c>
      <c r="Q143" s="13">
        <f t="shared" si="26"/>
        <v>0.83333333333333337</v>
      </c>
      <c r="R143" s="13">
        <f t="shared" si="27"/>
        <v>0.83333333333333337</v>
      </c>
    </row>
    <row r="144" spans="1:18" ht="15.75" customHeight="1" x14ac:dyDescent="0.3">
      <c r="A144" s="7" t="s">
        <v>130</v>
      </c>
      <c r="B144" s="7" t="s">
        <v>138</v>
      </c>
      <c r="C144" s="24" t="s">
        <v>58</v>
      </c>
      <c r="D144" s="24" t="s">
        <v>66</v>
      </c>
      <c r="E144" s="8">
        <v>46065</v>
      </c>
      <c r="F144" s="8">
        <v>46070</v>
      </c>
      <c r="G144" s="9">
        <f t="shared" si="34"/>
        <v>6</v>
      </c>
      <c r="H144" s="10">
        <v>252</v>
      </c>
      <c r="I144" s="10">
        <v>75</v>
      </c>
      <c r="J144" s="10">
        <v>51</v>
      </c>
      <c r="K144" s="11">
        <f t="shared" si="28"/>
        <v>42</v>
      </c>
      <c r="L144" s="11">
        <f t="shared" si="29"/>
        <v>12.5</v>
      </c>
      <c r="M144" s="12">
        <f t="shared" si="30"/>
        <v>0.29761904761904762</v>
      </c>
      <c r="N144" s="11">
        <f t="shared" si="31"/>
        <v>8.5</v>
      </c>
      <c r="O144" s="12">
        <f t="shared" si="32"/>
        <v>0.68</v>
      </c>
      <c r="P144" s="12">
        <f t="shared" si="33"/>
        <v>0.20238095238095238</v>
      </c>
      <c r="Q144" s="13">
        <f t="shared" si="26"/>
        <v>12.5</v>
      </c>
      <c r="R144" s="13">
        <f t="shared" si="27"/>
        <v>8.5</v>
      </c>
    </row>
    <row r="145" spans="1:18" ht="15.75" customHeight="1" x14ac:dyDescent="0.3">
      <c r="A145" s="7" t="s">
        <v>130</v>
      </c>
      <c r="B145" s="7" t="s">
        <v>139</v>
      </c>
      <c r="C145" s="24" t="s">
        <v>58</v>
      </c>
      <c r="D145" s="24" t="s">
        <v>68</v>
      </c>
      <c r="E145" s="8">
        <v>46065</v>
      </c>
      <c r="F145" s="8">
        <v>46070</v>
      </c>
      <c r="G145" s="9">
        <f t="shared" si="34"/>
        <v>6</v>
      </c>
      <c r="H145" s="10">
        <v>57</v>
      </c>
      <c r="I145" s="10">
        <v>29</v>
      </c>
      <c r="J145" s="10">
        <v>22</v>
      </c>
      <c r="K145" s="11">
        <f t="shared" si="28"/>
        <v>9.5</v>
      </c>
      <c r="L145" s="11">
        <f t="shared" si="29"/>
        <v>4.833333333333333</v>
      </c>
      <c r="M145" s="12">
        <f t="shared" si="30"/>
        <v>0.50877192982456143</v>
      </c>
      <c r="N145" s="11">
        <f t="shared" si="31"/>
        <v>3.6666666666666665</v>
      </c>
      <c r="O145" s="12">
        <f t="shared" si="32"/>
        <v>0.75862068965517238</v>
      </c>
      <c r="P145" s="12">
        <f t="shared" si="33"/>
        <v>0.38596491228070173</v>
      </c>
      <c r="Q145" s="13">
        <f t="shared" si="26"/>
        <v>4.8333333333333339</v>
      </c>
      <c r="R145" s="13">
        <f t="shared" si="27"/>
        <v>3.6666666666666665</v>
      </c>
    </row>
    <row r="146" spans="1:18" ht="15.75" customHeight="1" x14ac:dyDescent="0.3">
      <c r="A146" s="7" t="s">
        <v>130</v>
      </c>
      <c r="B146" s="7" t="s">
        <v>33</v>
      </c>
      <c r="C146" s="24" t="s">
        <v>34</v>
      </c>
      <c r="D146" s="24" t="s">
        <v>35</v>
      </c>
      <c r="E146" s="8">
        <v>46065</v>
      </c>
      <c r="F146" s="8">
        <v>46070</v>
      </c>
      <c r="G146" s="9">
        <f t="shared" si="34"/>
        <v>6</v>
      </c>
      <c r="H146" s="10">
        <v>345</v>
      </c>
      <c r="I146" s="10">
        <v>139</v>
      </c>
      <c r="J146" s="10">
        <v>92</v>
      </c>
      <c r="K146" s="11">
        <f t="shared" si="28"/>
        <v>57.5</v>
      </c>
      <c r="L146" s="11">
        <f t="shared" si="29"/>
        <v>23.166666666666668</v>
      </c>
      <c r="M146" s="12">
        <f t="shared" si="30"/>
        <v>0.40289855072463771</v>
      </c>
      <c r="N146" s="11">
        <f t="shared" si="31"/>
        <v>15.333333333333334</v>
      </c>
      <c r="O146" s="12">
        <f t="shared" si="32"/>
        <v>0.66187050359712229</v>
      </c>
      <c r="P146" s="12">
        <f t="shared" si="33"/>
        <v>0.26666666666666666</v>
      </c>
      <c r="Q146" s="13">
        <f t="shared" si="26"/>
        <v>23.166666666666668</v>
      </c>
      <c r="R146" s="13">
        <f t="shared" si="27"/>
        <v>15.333333333333334</v>
      </c>
    </row>
    <row r="147" spans="1:18" ht="15.75" customHeight="1" x14ac:dyDescent="0.3">
      <c r="A147" s="7" t="s">
        <v>130</v>
      </c>
      <c r="B147" s="7" t="s">
        <v>36</v>
      </c>
      <c r="C147" s="24" t="s">
        <v>34</v>
      </c>
      <c r="D147" s="24" t="s">
        <v>35</v>
      </c>
      <c r="E147" s="8">
        <v>46065</v>
      </c>
      <c r="F147" s="8">
        <v>46070</v>
      </c>
      <c r="G147" s="9">
        <f t="shared" si="34"/>
        <v>6</v>
      </c>
      <c r="H147" s="10" t="s">
        <v>433</v>
      </c>
      <c r="I147" s="10" t="s">
        <v>433</v>
      </c>
      <c r="J147" s="10" t="s">
        <v>433</v>
      </c>
      <c r="K147" s="11" t="str">
        <f t="shared" si="28"/>
        <v/>
      </c>
      <c r="L147" s="11" t="str">
        <f t="shared" si="29"/>
        <v/>
      </c>
      <c r="M147" s="12" t="str">
        <f t="shared" si="30"/>
        <v/>
      </c>
      <c r="N147" s="11" t="str">
        <f t="shared" si="31"/>
        <v/>
      </c>
      <c r="O147" s="12" t="str">
        <f t="shared" si="32"/>
        <v/>
      </c>
      <c r="P147" s="12" t="str">
        <f t="shared" si="33"/>
        <v/>
      </c>
    </row>
    <row r="148" spans="1:18" ht="15.75" customHeight="1" x14ac:dyDescent="0.3">
      <c r="A148" s="7" t="s">
        <v>130</v>
      </c>
      <c r="B148" s="7" t="s">
        <v>78</v>
      </c>
      <c r="C148" s="24" t="s">
        <v>34</v>
      </c>
      <c r="D148" s="24" t="s">
        <v>35</v>
      </c>
      <c r="E148" s="8">
        <v>46065</v>
      </c>
      <c r="F148" s="8">
        <v>46070</v>
      </c>
      <c r="G148" s="9">
        <f t="shared" si="34"/>
        <v>6</v>
      </c>
      <c r="H148" s="10">
        <v>564</v>
      </c>
      <c r="I148" s="10">
        <v>187</v>
      </c>
      <c r="J148" s="10">
        <v>113</v>
      </c>
      <c r="K148" s="11">
        <f t="shared" si="28"/>
        <v>94</v>
      </c>
      <c r="L148" s="11">
        <f t="shared" si="29"/>
        <v>31.166666666666668</v>
      </c>
      <c r="M148" s="12">
        <f t="shared" si="30"/>
        <v>0.33156028368794327</v>
      </c>
      <c r="N148" s="11">
        <f t="shared" si="31"/>
        <v>18.833333333333332</v>
      </c>
      <c r="O148" s="12">
        <f t="shared" si="32"/>
        <v>0.60427807486631013</v>
      </c>
      <c r="P148" s="12">
        <f t="shared" si="33"/>
        <v>0.20035460992907803</v>
      </c>
      <c r="Q148" s="13">
        <f t="shared" ref="Q148:Q179" si="35">IFERROR((I148/H148)*K148,"")</f>
        <v>31.166666666666668</v>
      </c>
      <c r="R148" s="13">
        <f t="shared" ref="R148:R179" si="36">IFERROR((J148/H148)*K148,"")</f>
        <v>18.833333333333336</v>
      </c>
    </row>
    <row r="149" spans="1:18" ht="15.75" customHeight="1" x14ac:dyDescent="0.3">
      <c r="A149" s="7" t="s">
        <v>130</v>
      </c>
      <c r="B149" s="7" t="s">
        <v>90</v>
      </c>
      <c r="C149" s="24" t="s">
        <v>34</v>
      </c>
      <c r="D149" s="24" t="s">
        <v>91</v>
      </c>
      <c r="E149" s="8">
        <v>46065</v>
      </c>
      <c r="F149" s="8">
        <v>46070</v>
      </c>
      <c r="G149" s="9">
        <f t="shared" si="34"/>
        <v>6</v>
      </c>
      <c r="H149" s="10">
        <v>55</v>
      </c>
      <c r="I149" s="10">
        <v>14</v>
      </c>
      <c r="J149" s="10">
        <v>4</v>
      </c>
      <c r="K149" s="11">
        <f t="shared" si="28"/>
        <v>9.1666666666666661</v>
      </c>
      <c r="L149" s="11">
        <f t="shared" si="29"/>
        <v>2.3333333333333335</v>
      </c>
      <c r="M149" s="12">
        <f t="shared" si="30"/>
        <v>0.25454545454545452</v>
      </c>
      <c r="N149" s="11">
        <f t="shared" si="31"/>
        <v>0.66666666666666663</v>
      </c>
      <c r="O149" s="12">
        <f t="shared" si="32"/>
        <v>0.2857142857142857</v>
      </c>
      <c r="P149" s="12">
        <f t="shared" si="33"/>
        <v>7.2727272727272724E-2</v>
      </c>
      <c r="Q149" s="13">
        <f t="shared" si="35"/>
        <v>2.333333333333333</v>
      </c>
      <c r="R149" s="13">
        <f t="shared" si="36"/>
        <v>0.66666666666666663</v>
      </c>
    </row>
    <row r="150" spans="1:18" ht="15.75" customHeight="1" x14ac:dyDescent="0.3">
      <c r="A150" s="7" t="s">
        <v>130</v>
      </c>
      <c r="B150" s="7" t="s">
        <v>38</v>
      </c>
      <c r="C150" s="24" t="s">
        <v>34</v>
      </c>
      <c r="D150" s="24" t="s">
        <v>39</v>
      </c>
      <c r="E150" s="8">
        <v>46065</v>
      </c>
      <c r="F150" s="8">
        <v>46070</v>
      </c>
      <c r="G150" s="9">
        <f t="shared" si="34"/>
        <v>6</v>
      </c>
      <c r="H150" s="10">
        <v>170</v>
      </c>
      <c r="I150" s="10">
        <v>20</v>
      </c>
      <c r="J150" s="10">
        <v>15</v>
      </c>
      <c r="K150" s="11">
        <f t="shared" si="28"/>
        <v>28.333333333333332</v>
      </c>
      <c r="L150" s="11">
        <f t="shared" si="29"/>
        <v>3.3333333333333335</v>
      </c>
      <c r="M150" s="12">
        <f t="shared" si="30"/>
        <v>0.11764705882352941</v>
      </c>
      <c r="N150" s="11">
        <f t="shared" si="31"/>
        <v>2.5</v>
      </c>
      <c r="O150" s="12">
        <f t="shared" si="32"/>
        <v>0.75</v>
      </c>
      <c r="P150" s="12">
        <f t="shared" si="33"/>
        <v>8.8235294117647065E-2</v>
      </c>
      <c r="Q150" s="13">
        <f t="shared" si="35"/>
        <v>3.333333333333333</v>
      </c>
      <c r="R150" s="13">
        <f t="shared" si="36"/>
        <v>2.5</v>
      </c>
    </row>
    <row r="151" spans="1:18" ht="15.75" customHeight="1" x14ac:dyDescent="0.3">
      <c r="A151" s="7" t="s">
        <v>130</v>
      </c>
      <c r="B151" s="7" t="s">
        <v>40</v>
      </c>
      <c r="C151" s="24" t="s">
        <v>34</v>
      </c>
      <c r="D151" s="24" t="s">
        <v>39</v>
      </c>
      <c r="E151" s="8">
        <v>46065</v>
      </c>
      <c r="F151" s="8">
        <v>46070</v>
      </c>
      <c r="G151" s="9">
        <f t="shared" si="34"/>
        <v>6</v>
      </c>
      <c r="H151" s="10">
        <v>5</v>
      </c>
      <c r="I151" s="10">
        <v>2</v>
      </c>
      <c r="J151" s="10">
        <v>1</v>
      </c>
      <c r="K151" s="11">
        <f t="shared" si="28"/>
        <v>0.83333333333333337</v>
      </c>
      <c r="L151" s="11">
        <f t="shared" si="29"/>
        <v>0.33333333333333331</v>
      </c>
      <c r="M151" s="12">
        <f t="shared" si="30"/>
        <v>0.4</v>
      </c>
      <c r="N151" s="11">
        <f t="shared" si="31"/>
        <v>0.16666666666666666</v>
      </c>
      <c r="O151" s="12">
        <f t="shared" si="32"/>
        <v>0.5</v>
      </c>
      <c r="P151" s="12">
        <f t="shared" si="33"/>
        <v>0.2</v>
      </c>
      <c r="Q151" s="13">
        <f t="shared" si="35"/>
        <v>0.33333333333333337</v>
      </c>
      <c r="R151" s="13">
        <f t="shared" si="36"/>
        <v>0.16666666666666669</v>
      </c>
    </row>
    <row r="152" spans="1:18" ht="15.75" customHeight="1" x14ac:dyDescent="0.3">
      <c r="A152" s="7" t="s">
        <v>130</v>
      </c>
      <c r="B152" s="7" t="s">
        <v>92</v>
      </c>
      <c r="C152" s="24" t="s">
        <v>34</v>
      </c>
      <c r="D152" s="24" t="s">
        <v>76</v>
      </c>
      <c r="E152" s="8">
        <v>46065</v>
      </c>
      <c r="F152" s="8">
        <v>46070</v>
      </c>
      <c r="G152" s="9">
        <f t="shared" si="34"/>
        <v>6</v>
      </c>
      <c r="H152" s="10">
        <v>37</v>
      </c>
      <c r="I152" s="10">
        <v>4</v>
      </c>
      <c r="J152" s="10">
        <v>2</v>
      </c>
      <c r="K152" s="11">
        <f t="shared" si="28"/>
        <v>6.166666666666667</v>
      </c>
      <c r="L152" s="11">
        <f t="shared" si="29"/>
        <v>0.66666666666666663</v>
      </c>
      <c r="M152" s="12">
        <f t="shared" si="30"/>
        <v>0.10810810810810811</v>
      </c>
      <c r="N152" s="11">
        <f t="shared" si="31"/>
        <v>0.33333333333333331</v>
      </c>
      <c r="O152" s="12">
        <f t="shared" si="32"/>
        <v>0.5</v>
      </c>
      <c r="P152" s="12">
        <f t="shared" si="33"/>
        <v>5.4054054054054057E-2</v>
      </c>
      <c r="Q152" s="13">
        <f t="shared" si="35"/>
        <v>0.66666666666666674</v>
      </c>
      <c r="R152" s="13">
        <f t="shared" si="36"/>
        <v>0.33333333333333337</v>
      </c>
    </row>
    <row r="153" spans="1:18" ht="15.75" customHeight="1" x14ac:dyDescent="0.3">
      <c r="A153" s="7" t="s">
        <v>130</v>
      </c>
      <c r="B153" s="7" t="s">
        <v>45</v>
      </c>
      <c r="C153" s="24" t="s">
        <v>34</v>
      </c>
      <c r="D153" s="24" t="s">
        <v>44</v>
      </c>
      <c r="E153" s="8">
        <v>46065</v>
      </c>
      <c r="F153" s="8">
        <v>46070</v>
      </c>
      <c r="G153" s="9">
        <f t="shared" si="34"/>
        <v>6</v>
      </c>
      <c r="H153" s="10">
        <v>432</v>
      </c>
      <c r="I153" s="10">
        <v>53</v>
      </c>
      <c r="J153" s="10">
        <v>38</v>
      </c>
      <c r="K153" s="11">
        <f t="shared" si="28"/>
        <v>72</v>
      </c>
      <c r="L153" s="11">
        <f t="shared" si="29"/>
        <v>8.8333333333333339</v>
      </c>
      <c r="M153" s="12">
        <f t="shared" si="30"/>
        <v>0.12268518518518519</v>
      </c>
      <c r="N153" s="11">
        <f t="shared" si="31"/>
        <v>6.333333333333333</v>
      </c>
      <c r="O153" s="12">
        <f t="shared" si="32"/>
        <v>0.71698113207547165</v>
      </c>
      <c r="P153" s="12">
        <f t="shared" si="33"/>
        <v>8.7962962962962965E-2</v>
      </c>
      <c r="Q153" s="13">
        <f t="shared" si="35"/>
        <v>8.8333333333333339</v>
      </c>
      <c r="R153" s="13">
        <f t="shared" si="36"/>
        <v>6.3333333333333339</v>
      </c>
    </row>
    <row r="154" spans="1:18" ht="15.75" customHeight="1" x14ac:dyDescent="0.3">
      <c r="A154" s="7" t="s">
        <v>130</v>
      </c>
      <c r="B154" s="7" t="s">
        <v>43</v>
      </c>
      <c r="C154" s="24" t="s">
        <v>34</v>
      </c>
      <c r="D154" s="24" t="s">
        <v>44</v>
      </c>
      <c r="E154" s="8">
        <v>46065</v>
      </c>
      <c r="F154" s="8">
        <v>46070</v>
      </c>
      <c r="G154" s="9">
        <f t="shared" si="34"/>
        <v>6</v>
      </c>
      <c r="H154" s="10">
        <v>286</v>
      </c>
      <c r="I154" s="10">
        <v>37</v>
      </c>
      <c r="J154" s="10">
        <v>20</v>
      </c>
      <c r="K154" s="11">
        <f t="shared" si="28"/>
        <v>47.666666666666664</v>
      </c>
      <c r="L154" s="11">
        <f t="shared" si="29"/>
        <v>6.166666666666667</v>
      </c>
      <c r="M154" s="12">
        <f t="shared" si="30"/>
        <v>0.12937062937062938</v>
      </c>
      <c r="N154" s="11">
        <f t="shared" si="31"/>
        <v>3.3333333333333335</v>
      </c>
      <c r="O154" s="12">
        <f t="shared" si="32"/>
        <v>0.54054054054054057</v>
      </c>
      <c r="P154" s="12">
        <f t="shared" si="33"/>
        <v>6.9930069930069935E-2</v>
      </c>
      <c r="Q154" s="13">
        <f t="shared" si="35"/>
        <v>6.166666666666667</v>
      </c>
      <c r="R154" s="13">
        <f t="shared" si="36"/>
        <v>3.3333333333333335</v>
      </c>
    </row>
    <row r="155" spans="1:18" ht="15.75" customHeight="1" x14ac:dyDescent="0.3">
      <c r="A155" s="7" t="s">
        <v>130</v>
      </c>
      <c r="B155" s="7" t="s">
        <v>93</v>
      </c>
      <c r="C155" s="24" t="s">
        <v>47</v>
      </c>
      <c r="D155" s="24" t="s">
        <v>48</v>
      </c>
      <c r="E155" s="8">
        <v>46065</v>
      </c>
      <c r="F155" s="8">
        <v>46070</v>
      </c>
      <c r="G155" s="9">
        <f t="shared" si="34"/>
        <v>6</v>
      </c>
      <c r="H155" s="10">
        <v>524</v>
      </c>
      <c r="I155" s="10">
        <v>177</v>
      </c>
      <c r="J155" s="10">
        <v>126</v>
      </c>
      <c r="K155" s="11">
        <f t="shared" si="28"/>
        <v>87.333333333333329</v>
      </c>
      <c r="L155" s="11">
        <f t="shared" si="29"/>
        <v>29.5</v>
      </c>
      <c r="M155" s="12">
        <f t="shared" si="30"/>
        <v>0.33778625954198471</v>
      </c>
      <c r="N155" s="11">
        <f t="shared" si="31"/>
        <v>21</v>
      </c>
      <c r="O155" s="12">
        <f t="shared" si="32"/>
        <v>0.71186440677966101</v>
      </c>
      <c r="P155" s="12">
        <f t="shared" si="33"/>
        <v>0.24045801526717558</v>
      </c>
      <c r="Q155" s="13">
        <f t="shared" si="35"/>
        <v>29.499999999999996</v>
      </c>
      <c r="R155" s="13">
        <f t="shared" si="36"/>
        <v>21</v>
      </c>
    </row>
    <row r="156" spans="1:18" ht="15.75" customHeight="1" x14ac:dyDescent="0.3">
      <c r="A156" s="7" t="s">
        <v>130</v>
      </c>
      <c r="B156" s="7" t="s">
        <v>94</v>
      </c>
      <c r="C156" s="24" t="s">
        <v>47</v>
      </c>
      <c r="D156" s="24" t="s">
        <v>48</v>
      </c>
      <c r="E156" s="8">
        <v>46065</v>
      </c>
      <c r="F156" s="8">
        <v>46070</v>
      </c>
      <c r="G156" s="9">
        <f t="shared" si="34"/>
        <v>6</v>
      </c>
      <c r="H156" s="10" t="s">
        <v>433</v>
      </c>
      <c r="I156" s="10" t="s">
        <v>433</v>
      </c>
      <c r="J156" s="10" t="s">
        <v>433</v>
      </c>
      <c r="K156" s="11" t="str">
        <f t="shared" si="28"/>
        <v/>
      </c>
      <c r="L156" s="11" t="str">
        <f t="shared" si="29"/>
        <v/>
      </c>
      <c r="M156" s="12" t="str">
        <f t="shared" si="30"/>
        <v/>
      </c>
      <c r="N156" s="11" t="str">
        <f t="shared" si="31"/>
        <v/>
      </c>
      <c r="O156" s="12" t="str">
        <f t="shared" si="32"/>
        <v/>
      </c>
      <c r="P156" s="12" t="str">
        <f t="shared" si="33"/>
        <v/>
      </c>
      <c r="Q156" s="13" t="str">
        <f t="shared" si="35"/>
        <v/>
      </c>
      <c r="R156" s="13" t="str">
        <f t="shared" si="36"/>
        <v/>
      </c>
    </row>
    <row r="157" spans="1:18" ht="15.75" customHeight="1" x14ac:dyDescent="0.3">
      <c r="A157" s="7" t="s">
        <v>130</v>
      </c>
      <c r="B157" s="7" t="s">
        <v>95</v>
      </c>
      <c r="C157" s="24" t="s">
        <v>47</v>
      </c>
      <c r="D157" s="24" t="s">
        <v>48</v>
      </c>
      <c r="E157" s="8">
        <v>46065</v>
      </c>
      <c r="F157" s="8">
        <v>46070</v>
      </c>
      <c r="G157" s="9">
        <f t="shared" si="34"/>
        <v>6</v>
      </c>
      <c r="H157" s="10">
        <v>196</v>
      </c>
      <c r="I157" s="10">
        <v>34</v>
      </c>
      <c r="J157" s="10">
        <v>23</v>
      </c>
      <c r="K157" s="11">
        <f t="shared" si="28"/>
        <v>32.666666666666664</v>
      </c>
      <c r="L157" s="11">
        <f t="shared" si="29"/>
        <v>5.666666666666667</v>
      </c>
      <c r="M157" s="12">
        <f t="shared" si="30"/>
        <v>0.17346938775510204</v>
      </c>
      <c r="N157" s="11">
        <f t="shared" si="31"/>
        <v>3.8333333333333335</v>
      </c>
      <c r="O157" s="12">
        <f t="shared" si="32"/>
        <v>0.67647058823529416</v>
      </c>
      <c r="P157" s="12">
        <f t="shared" si="33"/>
        <v>0.11734693877551021</v>
      </c>
      <c r="Q157" s="13">
        <f t="shared" si="35"/>
        <v>5.6666666666666661</v>
      </c>
      <c r="R157" s="13">
        <f t="shared" si="36"/>
        <v>3.833333333333333</v>
      </c>
    </row>
    <row r="158" spans="1:18" ht="15.75" customHeight="1" x14ac:dyDescent="0.3">
      <c r="A158" s="7" t="s">
        <v>130</v>
      </c>
      <c r="B158" s="7" t="s">
        <v>96</v>
      </c>
      <c r="C158" s="24" t="s">
        <v>47</v>
      </c>
      <c r="D158" s="24" t="s">
        <v>48</v>
      </c>
      <c r="E158" s="8">
        <v>46065</v>
      </c>
      <c r="F158" s="8">
        <v>46070</v>
      </c>
      <c r="G158" s="9">
        <f t="shared" si="34"/>
        <v>6</v>
      </c>
      <c r="H158" s="10">
        <v>2</v>
      </c>
      <c r="I158" s="10">
        <v>0</v>
      </c>
      <c r="J158" s="10">
        <v>0</v>
      </c>
      <c r="K158" s="11">
        <f t="shared" si="28"/>
        <v>0.33333333333333331</v>
      </c>
      <c r="L158" s="11">
        <f t="shared" si="29"/>
        <v>0</v>
      </c>
      <c r="M158" s="12">
        <f t="shared" si="30"/>
        <v>0</v>
      </c>
      <c r="N158" s="11">
        <f t="shared" si="31"/>
        <v>0</v>
      </c>
      <c r="O158" s="12" t="str">
        <f t="shared" si="32"/>
        <v/>
      </c>
      <c r="P158" s="12">
        <f t="shared" si="33"/>
        <v>0</v>
      </c>
      <c r="Q158" s="13">
        <f t="shared" si="35"/>
        <v>0</v>
      </c>
      <c r="R158" s="13">
        <f t="shared" si="36"/>
        <v>0</v>
      </c>
    </row>
    <row r="159" spans="1:18" ht="15.75" customHeight="1" x14ac:dyDescent="0.3">
      <c r="A159" s="7" t="s">
        <v>130</v>
      </c>
      <c r="B159" s="7" t="s">
        <v>97</v>
      </c>
      <c r="C159" s="24" t="s">
        <v>47</v>
      </c>
      <c r="D159" s="24" t="s">
        <v>53</v>
      </c>
      <c r="E159" s="8">
        <v>46065</v>
      </c>
      <c r="F159" s="8">
        <v>46070</v>
      </c>
      <c r="G159" s="9">
        <f t="shared" si="34"/>
        <v>6</v>
      </c>
      <c r="H159" s="10">
        <v>131</v>
      </c>
      <c r="I159" s="10">
        <v>55</v>
      </c>
      <c r="J159" s="10">
        <v>42</v>
      </c>
      <c r="K159" s="11">
        <f t="shared" si="28"/>
        <v>21.833333333333332</v>
      </c>
      <c r="L159" s="11">
        <f t="shared" si="29"/>
        <v>9.1666666666666661</v>
      </c>
      <c r="M159" s="12">
        <f t="shared" si="30"/>
        <v>0.41984732824427479</v>
      </c>
      <c r="N159" s="11">
        <f t="shared" si="31"/>
        <v>7</v>
      </c>
      <c r="O159" s="12">
        <f t="shared" si="32"/>
        <v>0.76363636363636367</v>
      </c>
      <c r="P159" s="12">
        <f t="shared" si="33"/>
        <v>0.32061068702290074</v>
      </c>
      <c r="Q159" s="13">
        <f t="shared" si="35"/>
        <v>9.1666666666666661</v>
      </c>
      <c r="R159" s="13">
        <f t="shared" si="36"/>
        <v>6.9999999999999991</v>
      </c>
    </row>
    <row r="160" spans="1:18" ht="15.75" customHeight="1" x14ac:dyDescent="0.3">
      <c r="A160" s="7" t="s">
        <v>130</v>
      </c>
      <c r="B160" s="7" t="s">
        <v>98</v>
      </c>
      <c r="C160" s="24" t="s">
        <v>47</v>
      </c>
      <c r="D160" s="24" t="s">
        <v>53</v>
      </c>
      <c r="E160" s="8">
        <v>46065</v>
      </c>
      <c r="F160" s="8">
        <v>46070</v>
      </c>
      <c r="G160" s="9">
        <f t="shared" si="34"/>
        <v>6</v>
      </c>
      <c r="H160" s="10">
        <v>30</v>
      </c>
      <c r="I160" s="10">
        <v>9</v>
      </c>
      <c r="J160" s="10">
        <v>7</v>
      </c>
      <c r="K160" s="11">
        <f t="shared" si="28"/>
        <v>5</v>
      </c>
      <c r="L160" s="11">
        <f t="shared" si="29"/>
        <v>1.5</v>
      </c>
      <c r="M160" s="12">
        <f t="shared" si="30"/>
        <v>0.3</v>
      </c>
      <c r="N160" s="11">
        <f t="shared" si="31"/>
        <v>1.1666666666666667</v>
      </c>
      <c r="O160" s="12">
        <f t="shared" si="32"/>
        <v>0.77777777777777779</v>
      </c>
      <c r="P160" s="12">
        <f t="shared" si="33"/>
        <v>0.23333333333333334</v>
      </c>
      <c r="Q160" s="13">
        <f t="shared" si="35"/>
        <v>1.5</v>
      </c>
      <c r="R160" s="13">
        <f t="shared" si="36"/>
        <v>1.1666666666666667</v>
      </c>
    </row>
    <row r="161" spans="1:18" ht="15.75" customHeight="1" x14ac:dyDescent="0.3">
      <c r="A161" s="7" t="s">
        <v>130</v>
      </c>
      <c r="B161" s="7" t="s">
        <v>99</v>
      </c>
      <c r="C161" s="24" t="s">
        <v>47</v>
      </c>
      <c r="D161" s="24" t="s">
        <v>56</v>
      </c>
      <c r="E161" s="8">
        <v>46065</v>
      </c>
      <c r="F161" s="8">
        <v>46070</v>
      </c>
      <c r="G161" s="9">
        <f t="shared" si="34"/>
        <v>6</v>
      </c>
      <c r="H161" s="10">
        <v>146</v>
      </c>
      <c r="I161" s="10">
        <v>55</v>
      </c>
      <c r="J161" s="10">
        <v>47</v>
      </c>
      <c r="K161" s="11">
        <f t="shared" si="28"/>
        <v>24.333333333333332</v>
      </c>
      <c r="L161" s="11">
        <f t="shared" si="29"/>
        <v>9.1666666666666661</v>
      </c>
      <c r="M161" s="12">
        <f t="shared" si="30"/>
        <v>0.37671232876712329</v>
      </c>
      <c r="N161" s="11">
        <f t="shared" si="31"/>
        <v>7.833333333333333</v>
      </c>
      <c r="O161" s="12">
        <f t="shared" si="32"/>
        <v>0.8545454545454545</v>
      </c>
      <c r="P161" s="12">
        <f t="shared" si="33"/>
        <v>0.32191780821917809</v>
      </c>
      <c r="Q161" s="13">
        <f t="shared" si="35"/>
        <v>9.1666666666666661</v>
      </c>
      <c r="R161" s="13">
        <f t="shared" si="36"/>
        <v>7.833333333333333</v>
      </c>
    </row>
    <row r="162" spans="1:18" ht="15.75" customHeight="1" x14ac:dyDescent="0.3">
      <c r="A162" s="7" t="s">
        <v>130</v>
      </c>
      <c r="B162" s="7" t="s">
        <v>100</v>
      </c>
      <c r="C162" s="24" t="s">
        <v>47</v>
      </c>
      <c r="D162" s="24" t="s">
        <v>56</v>
      </c>
      <c r="E162" s="8">
        <v>46065</v>
      </c>
      <c r="F162" s="8">
        <v>46070</v>
      </c>
      <c r="G162" s="9">
        <f t="shared" si="34"/>
        <v>6</v>
      </c>
      <c r="H162" s="10">
        <v>1</v>
      </c>
      <c r="I162" s="10">
        <v>1</v>
      </c>
      <c r="J162" s="10">
        <v>0</v>
      </c>
      <c r="K162" s="11">
        <f t="shared" si="28"/>
        <v>0.16666666666666666</v>
      </c>
      <c r="L162" s="11">
        <f t="shared" si="29"/>
        <v>0.16666666666666666</v>
      </c>
      <c r="M162" s="12">
        <f t="shared" si="30"/>
        <v>1</v>
      </c>
      <c r="N162" s="11">
        <f t="shared" si="31"/>
        <v>0</v>
      </c>
      <c r="O162" s="12">
        <f t="shared" si="32"/>
        <v>0</v>
      </c>
      <c r="P162" s="12">
        <f t="shared" si="33"/>
        <v>0</v>
      </c>
      <c r="Q162" s="13">
        <f t="shared" si="35"/>
        <v>0.16666666666666666</v>
      </c>
      <c r="R162" s="13">
        <f t="shared" si="36"/>
        <v>0</v>
      </c>
    </row>
    <row r="163" spans="1:18" ht="15.75" customHeight="1" x14ac:dyDescent="0.3">
      <c r="A163" s="7" t="s">
        <v>130</v>
      </c>
      <c r="B163" s="7" t="s">
        <v>101</v>
      </c>
      <c r="C163" s="24" t="s">
        <v>58</v>
      </c>
      <c r="D163" s="24" t="s">
        <v>442</v>
      </c>
      <c r="E163" s="8">
        <v>46065</v>
      </c>
      <c r="F163" s="8">
        <v>46070</v>
      </c>
      <c r="G163" s="9">
        <f t="shared" si="34"/>
        <v>6</v>
      </c>
      <c r="H163" s="10">
        <v>33</v>
      </c>
      <c r="I163" s="10">
        <v>22</v>
      </c>
      <c r="J163" s="10">
        <v>14</v>
      </c>
      <c r="K163" s="11">
        <f t="shared" si="28"/>
        <v>5.5</v>
      </c>
      <c r="L163" s="11">
        <f t="shared" si="29"/>
        <v>3.6666666666666665</v>
      </c>
      <c r="M163" s="12">
        <f t="shared" si="30"/>
        <v>0.66666666666666663</v>
      </c>
      <c r="N163" s="11">
        <f t="shared" si="31"/>
        <v>2.3333333333333335</v>
      </c>
      <c r="O163" s="12">
        <f t="shared" si="32"/>
        <v>0.63636363636363635</v>
      </c>
      <c r="P163" s="12">
        <f t="shared" si="33"/>
        <v>0.42424242424242425</v>
      </c>
      <c r="Q163" s="13">
        <f t="shared" si="35"/>
        <v>3.6666666666666665</v>
      </c>
      <c r="R163" s="13">
        <f t="shared" si="36"/>
        <v>2.3333333333333335</v>
      </c>
    </row>
    <row r="164" spans="1:18" ht="15.75" customHeight="1" x14ac:dyDescent="0.3">
      <c r="A164" s="7" t="s">
        <v>130</v>
      </c>
      <c r="B164" s="7" t="s">
        <v>121</v>
      </c>
      <c r="C164" s="24" t="s">
        <v>58</v>
      </c>
      <c r="D164" s="24" t="s">
        <v>61</v>
      </c>
      <c r="E164" s="8">
        <v>46065</v>
      </c>
      <c r="F164" s="8">
        <v>46070</v>
      </c>
      <c r="G164" s="9">
        <f t="shared" si="34"/>
        <v>6</v>
      </c>
      <c r="H164" s="10">
        <v>58</v>
      </c>
      <c r="I164" s="10">
        <v>16</v>
      </c>
      <c r="J164" s="10">
        <v>14</v>
      </c>
      <c r="K164" s="11">
        <f t="shared" si="28"/>
        <v>9.6666666666666661</v>
      </c>
      <c r="L164" s="11">
        <f t="shared" si="29"/>
        <v>2.6666666666666665</v>
      </c>
      <c r="M164" s="12">
        <f t="shared" si="30"/>
        <v>0.27586206896551724</v>
      </c>
      <c r="N164" s="11">
        <f t="shared" si="31"/>
        <v>2.3333333333333335</v>
      </c>
      <c r="O164" s="12">
        <f t="shared" si="32"/>
        <v>0.875</v>
      </c>
      <c r="P164" s="12">
        <f t="shared" si="33"/>
        <v>0.2413793103448276</v>
      </c>
      <c r="Q164" s="13">
        <f t="shared" si="35"/>
        <v>2.6666666666666665</v>
      </c>
      <c r="R164" s="13">
        <f t="shared" si="36"/>
        <v>2.3333333333333335</v>
      </c>
    </row>
    <row r="165" spans="1:18" ht="15.75" customHeight="1" x14ac:dyDescent="0.3">
      <c r="A165" s="7" t="s">
        <v>130</v>
      </c>
      <c r="B165" s="7" t="s">
        <v>102</v>
      </c>
      <c r="C165" s="24" t="s">
        <v>58</v>
      </c>
      <c r="D165" s="24" t="s">
        <v>103</v>
      </c>
      <c r="E165" s="8">
        <v>46065</v>
      </c>
      <c r="F165" s="8">
        <v>46070</v>
      </c>
      <c r="G165" s="9">
        <f t="shared" si="34"/>
        <v>6</v>
      </c>
      <c r="H165" s="10">
        <v>116</v>
      </c>
      <c r="I165" s="10">
        <v>30</v>
      </c>
      <c r="J165" s="10">
        <v>17</v>
      </c>
      <c r="K165" s="11">
        <f t="shared" si="28"/>
        <v>19.333333333333332</v>
      </c>
      <c r="L165" s="11">
        <f t="shared" si="29"/>
        <v>5</v>
      </c>
      <c r="M165" s="12">
        <f t="shared" si="30"/>
        <v>0.25862068965517243</v>
      </c>
      <c r="N165" s="11">
        <f t="shared" si="31"/>
        <v>2.8333333333333335</v>
      </c>
      <c r="O165" s="12">
        <f t="shared" si="32"/>
        <v>0.56666666666666665</v>
      </c>
      <c r="P165" s="12">
        <f t="shared" si="33"/>
        <v>0.14655172413793102</v>
      </c>
      <c r="Q165" s="13">
        <f t="shared" si="35"/>
        <v>5</v>
      </c>
      <c r="R165" s="13">
        <f t="shared" si="36"/>
        <v>2.833333333333333</v>
      </c>
    </row>
    <row r="166" spans="1:18" ht="15.75" customHeight="1" x14ac:dyDescent="0.3">
      <c r="A166" s="7" t="s">
        <v>130</v>
      </c>
      <c r="B166" s="7" t="s">
        <v>106</v>
      </c>
      <c r="C166" s="24" t="s">
        <v>58</v>
      </c>
      <c r="D166" s="24" t="s">
        <v>107</v>
      </c>
      <c r="E166" s="8">
        <v>46065</v>
      </c>
      <c r="F166" s="8">
        <v>46070</v>
      </c>
      <c r="G166" s="9">
        <f t="shared" si="34"/>
        <v>6</v>
      </c>
      <c r="H166" s="10">
        <v>0</v>
      </c>
      <c r="I166" s="10">
        <v>0</v>
      </c>
      <c r="J166" s="10">
        <v>0</v>
      </c>
      <c r="K166" s="11">
        <f t="shared" si="28"/>
        <v>0</v>
      </c>
      <c r="L166" s="11">
        <f t="shared" si="29"/>
        <v>0</v>
      </c>
      <c r="M166" s="12" t="str">
        <f t="shared" si="30"/>
        <v/>
      </c>
      <c r="N166" s="11">
        <f t="shared" si="31"/>
        <v>0</v>
      </c>
      <c r="O166" s="12" t="str">
        <f t="shared" si="32"/>
        <v/>
      </c>
      <c r="P166" s="12" t="str">
        <f t="shared" si="33"/>
        <v/>
      </c>
      <c r="Q166" s="13" t="str">
        <f t="shared" si="35"/>
        <v/>
      </c>
      <c r="R166" s="13" t="str">
        <f t="shared" si="36"/>
        <v/>
      </c>
    </row>
    <row r="167" spans="1:18" ht="15.75" customHeight="1" x14ac:dyDescent="0.3">
      <c r="A167" s="7" t="s">
        <v>130</v>
      </c>
      <c r="B167" s="7" t="s">
        <v>87</v>
      </c>
      <c r="C167" s="24" t="s">
        <v>58</v>
      </c>
      <c r="D167" s="24" t="s">
        <v>64</v>
      </c>
      <c r="E167" s="8">
        <v>46065</v>
      </c>
      <c r="F167" s="8">
        <v>46070</v>
      </c>
      <c r="G167" s="9">
        <f t="shared" si="34"/>
        <v>6</v>
      </c>
      <c r="H167" s="10">
        <v>3</v>
      </c>
      <c r="I167" s="10">
        <v>2</v>
      </c>
      <c r="J167" s="10">
        <v>0</v>
      </c>
      <c r="K167" s="11">
        <f t="shared" si="28"/>
        <v>0.5</v>
      </c>
      <c r="L167" s="11">
        <f t="shared" si="29"/>
        <v>0.33333333333333331</v>
      </c>
      <c r="M167" s="12">
        <f t="shared" si="30"/>
        <v>0.66666666666666663</v>
      </c>
      <c r="N167" s="11">
        <f t="shared" si="31"/>
        <v>0</v>
      </c>
      <c r="O167" s="12">
        <f t="shared" si="32"/>
        <v>0</v>
      </c>
      <c r="P167" s="12">
        <f t="shared" si="33"/>
        <v>0</v>
      </c>
      <c r="Q167" s="13">
        <f t="shared" si="35"/>
        <v>0.33333333333333331</v>
      </c>
      <c r="R167" s="13">
        <f t="shared" si="36"/>
        <v>0</v>
      </c>
    </row>
    <row r="168" spans="1:18" ht="15.75" customHeight="1" x14ac:dyDescent="0.3">
      <c r="A168" s="7" t="s">
        <v>130</v>
      </c>
      <c r="B168" s="7" t="s">
        <v>435</v>
      </c>
      <c r="C168" s="24" t="s">
        <v>433</v>
      </c>
      <c r="D168" s="24" t="s">
        <v>433</v>
      </c>
      <c r="E168" s="8">
        <v>46065</v>
      </c>
      <c r="F168" s="8">
        <v>46070</v>
      </c>
      <c r="G168" s="9">
        <f t="shared" si="34"/>
        <v>6</v>
      </c>
      <c r="H168" s="10">
        <v>34</v>
      </c>
      <c r="I168" s="10">
        <v>14</v>
      </c>
      <c r="J168" s="10">
        <v>11</v>
      </c>
      <c r="K168" s="11">
        <f t="shared" si="28"/>
        <v>5.666666666666667</v>
      </c>
      <c r="L168" s="11">
        <f t="shared" si="29"/>
        <v>2.3333333333333335</v>
      </c>
      <c r="M168" s="12">
        <f t="shared" si="30"/>
        <v>0.41176470588235292</v>
      </c>
      <c r="N168" s="11">
        <f t="shared" si="31"/>
        <v>1.8333333333333333</v>
      </c>
      <c r="O168" s="12">
        <f t="shared" si="32"/>
        <v>0.7857142857142857</v>
      </c>
      <c r="P168" s="12">
        <f t="shared" si="33"/>
        <v>0.3235294117647059</v>
      </c>
      <c r="Q168" s="13">
        <f t="shared" si="35"/>
        <v>2.3333333333333335</v>
      </c>
      <c r="R168" s="13">
        <f t="shared" si="36"/>
        <v>1.8333333333333335</v>
      </c>
    </row>
    <row r="169" spans="1:18" ht="15.75" customHeight="1" x14ac:dyDescent="0.3">
      <c r="A169" s="7" t="s">
        <v>130</v>
      </c>
      <c r="B169" s="7" t="s">
        <v>108</v>
      </c>
      <c r="C169" s="24" t="s">
        <v>58</v>
      </c>
      <c r="D169" s="24" t="s">
        <v>66</v>
      </c>
      <c r="E169" s="8">
        <v>46065</v>
      </c>
      <c r="F169" s="8">
        <v>46070</v>
      </c>
      <c r="G169" s="9">
        <f t="shared" si="34"/>
        <v>6</v>
      </c>
      <c r="H169" s="10">
        <v>139</v>
      </c>
      <c r="I169" s="10">
        <v>40</v>
      </c>
      <c r="J169" s="10">
        <v>22</v>
      </c>
      <c r="K169" s="11">
        <f t="shared" si="28"/>
        <v>23.166666666666668</v>
      </c>
      <c r="L169" s="11">
        <f t="shared" si="29"/>
        <v>6.666666666666667</v>
      </c>
      <c r="M169" s="12">
        <f t="shared" si="30"/>
        <v>0.28776978417266186</v>
      </c>
      <c r="N169" s="11">
        <f t="shared" si="31"/>
        <v>3.6666666666666665</v>
      </c>
      <c r="O169" s="12">
        <f t="shared" si="32"/>
        <v>0.55000000000000004</v>
      </c>
      <c r="P169" s="12">
        <f t="shared" si="33"/>
        <v>0.15827338129496402</v>
      </c>
      <c r="Q169" s="13">
        <f t="shared" si="35"/>
        <v>6.666666666666667</v>
      </c>
      <c r="R169" s="13">
        <f t="shared" si="36"/>
        <v>3.6666666666666665</v>
      </c>
    </row>
    <row r="170" spans="1:18" ht="15.75" customHeight="1" x14ac:dyDescent="0.3">
      <c r="A170" s="7" t="s">
        <v>130</v>
      </c>
      <c r="B170" s="7" t="s">
        <v>109</v>
      </c>
      <c r="C170" s="24" t="s">
        <v>58</v>
      </c>
      <c r="D170" s="24" t="s">
        <v>68</v>
      </c>
      <c r="E170" s="8">
        <v>46065</v>
      </c>
      <c r="F170" s="8">
        <v>46070</v>
      </c>
      <c r="G170" s="9">
        <f t="shared" si="34"/>
        <v>6</v>
      </c>
      <c r="H170" s="10">
        <v>30</v>
      </c>
      <c r="I170" s="10">
        <v>11</v>
      </c>
      <c r="J170" s="10">
        <v>9</v>
      </c>
      <c r="K170" s="11">
        <f t="shared" si="28"/>
        <v>5</v>
      </c>
      <c r="L170" s="11">
        <f t="shared" si="29"/>
        <v>1.8333333333333333</v>
      </c>
      <c r="M170" s="12">
        <f t="shared" si="30"/>
        <v>0.36666666666666664</v>
      </c>
      <c r="N170" s="11">
        <f t="shared" si="31"/>
        <v>1.5</v>
      </c>
      <c r="O170" s="12">
        <f t="shared" si="32"/>
        <v>0.81818181818181823</v>
      </c>
      <c r="P170" s="12">
        <f t="shared" si="33"/>
        <v>0.3</v>
      </c>
      <c r="Q170" s="13">
        <f t="shared" si="35"/>
        <v>1.8333333333333333</v>
      </c>
      <c r="R170" s="13">
        <f t="shared" si="36"/>
        <v>1.5</v>
      </c>
    </row>
    <row r="171" spans="1:18" ht="15.75" customHeight="1" x14ac:dyDescent="0.3">
      <c r="A171" s="7" t="s">
        <v>130</v>
      </c>
      <c r="B171" s="7" t="s">
        <v>112</v>
      </c>
      <c r="C171" s="24" t="s">
        <v>58</v>
      </c>
      <c r="D171" s="24" t="s">
        <v>66</v>
      </c>
      <c r="E171" s="8">
        <v>46065</v>
      </c>
      <c r="F171" s="8">
        <v>46070</v>
      </c>
      <c r="G171" s="9">
        <f t="shared" si="34"/>
        <v>6</v>
      </c>
      <c r="H171" s="10">
        <v>9</v>
      </c>
      <c r="I171" s="10">
        <v>5</v>
      </c>
      <c r="J171" s="10">
        <v>4</v>
      </c>
      <c r="K171" s="11">
        <f t="shared" si="28"/>
        <v>1.5</v>
      </c>
      <c r="L171" s="11">
        <f t="shared" si="29"/>
        <v>0.83333333333333337</v>
      </c>
      <c r="M171" s="12">
        <f t="shared" si="30"/>
        <v>0.55555555555555558</v>
      </c>
      <c r="N171" s="11">
        <f t="shared" si="31"/>
        <v>0.66666666666666663</v>
      </c>
      <c r="O171" s="12">
        <f t="shared" si="32"/>
        <v>0.8</v>
      </c>
      <c r="P171" s="12">
        <f t="shared" si="33"/>
        <v>0.44444444444444442</v>
      </c>
      <c r="Q171" s="13">
        <f t="shared" si="35"/>
        <v>0.83333333333333337</v>
      </c>
      <c r="R171" s="13">
        <f t="shared" si="36"/>
        <v>0.66666666666666663</v>
      </c>
    </row>
    <row r="172" spans="1:18" ht="15.75" customHeight="1" x14ac:dyDescent="0.3">
      <c r="A172" s="7" t="s">
        <v>130</v>
      </c>
      <c r="B172" s="7" t="s">
        <v>113</v>
      </c>
      <c r="C172" s="24" t="s">
        <v>58</v>
      </c>
      <c r="D172" s="24" t="s">
        <v>68</v>
      </c>
      <c r="E172" s="8">
        <v>46065</v>
      </c>
      <c r="F172" s="8">
        <v>46070</v>
      </c>
      <c r="G172" s="9">
        <f t="shared" si="34"/>
        <v>6</v>
      </c>
      <c r="H172" s="10">
        <v>6</v>
      </c>
      <c r="I172" s="10">
        <v>2</v>
      </c>
      <c r="J172" s="10">
        <v>2</v>
      </c>
      <c r="K172" s="11">
        <f t="shared" si="28"/>
        <v>1</v>
      </c>
      <c r="L172" s="11">
        <f t="shared" si="29"/>
        <v>0.33333333333333331</v>
      </c>
      <c r="M172" s="12">
        <f t="shared" si="30"/>
        <v>0.33333333333333331</v>
      </c>
      <c r="N172" s="11">
        <f t="shared" si="31"/>
        <v>0.33333333333333331</v>
      </c>
      <c r="O172" s="12">
        <f t="shared" si="32"/>
        <v>1</v>
      </c>
      <c r="P172" s="12">
        <f t="shared" si="33"/>
        <v>0.33333333333333331</v>
      </c>
      <c r="Q172" s="13">
        <f t="shared" si="35"/>
        <v>0.33333333333333331</v>
      </c>
      <c r="R172" s="13">
        <f t="shared" si="36"/>
        <v>0.33333333333333331</v>
      </c>
    </row>
    <row r="173" spans="1:18" ht="15.75" customHeight="1" x14ac:dyDescent="0.3">
      <c r="A173" s="7" t="s">
        <v>130</v>
      </c>
      <c r="B173" s="7" t="s">
        <v>116</v>
      </c>
      <c r="C173" s="24" t="s">
        <v>58</v>
      </c>
      <c r="D173" s="24" t="s">
        <v>59</v>
      </c>
      <c r="E173" s="8">
        <v>46065</v>
      </c>
      <c r="F173" s="8">
        <v>46070</v>
      </c>
      <c r="G173" s="9">
        <f t="shared" si="34"/>
        <v>6</v>
      </c>
      <c r="H173" s="10">
        <v>3</v>
      </c>
      <c r="I173" s="10">
        <v>2</v>
      </c>
      <c r="J173" s="10">
        <v>2</v>
      </c>
      <c r="K173" s="11">
        <f t="shared" si="28"/>
        <v>0.5</v>
      </c>
      <c r="L173" s="11">
        <f t="shared" si="29"/>
        <v>0.33333333333333331</v>
      </c>
      <c r="M173" s="12">
        <f t="shared" si="30"/>
        <v>0.66666666666666663</v>
      </c>
      <c r="N173" s="11">
        <f t="shared" si="31"/>
        <v>0.33333333333333331</v>
      </c>
      <c r="O173" s="12">
        <f t="shared" si="32"/>
        <v>1</v>
      </c>
      <c r="P173" s="12">
        <f t="shared" si="33"/>
        <v>0.66666666666666663</v>
      </c>
      <c r="Q173" s="13">
        <f t="shared" si="35"/>
        <v>0.33333333333333331</v>
      </c>
      <c r="R173" s="13">
        <f t="shared" si="36"/>
        <v>0.33333333333333331</v>
      </c>
    </row>
    <row r="174" spans="1:18" ht="15.75" customHeight="1" x14ac:dyDescent="0.3">
      <c r="A174" s="7" t="s">
        <v>140</v>
      </c>
      <c r="B174" s="7" t="s">
        <v>436</v>
      </c>
      <c r="C174" s="24" t="s">
        <v>433</v>
      </c>
      <c r="D174" s="24" t="s">
        <v>433</v>
      </c>
      <c r="E174" s="8">
        <v>46071</v>
      </c>
      <c r="F174" s="8">
        <v>46081</v>
      </c>
      <c r="G174" s="9">
        <f t="shared" si="34"/>
        <v>11</v>
      </c>
      <c r="H174" s="10" t="s">
        <v>433</v>
      </c>
      <c r="I174" s="10" t="s">
        <v>433</v>
      </c>
      <c r="J174" s="10" t="s">
        <v>433</v>
      </c>
      <c r="K174" s="11" t="str">
        <f t="shared" si="28"/>
        <v/>
      </c>
      <c r="L174" s="11" t="str">
        <f t="shared" si="29"/>
        <v/>
      </c>
      <c r="M174" s="12" t="str">
        <f t="shared" si="30"/>
        <v/>
      </c>
      <c r="N174" s="11" t="str">
        <f t="shared" si="31"/>
        <v/>
      </c>
      <c r="O174" s="12" t="str">
        <f t="shared" si="32"/>
        <v/>
      </c>
      <c r="P174" s="12" t="str">
        <f t="shared" si="33"/>
        <v/>
      </c>
      <c r="Q174" s="13" t="str">
        <f t="shared" si="35"/>
        <v/>
      </c>
      <c r="R174" s="13" t="str">
        <f t="shared" si="36"/>
        <v/>
      </c>
    </row>
    <row r="175" spans="1:18" ht="15.75" customHeight="1" x14ac:dyDescent="0.3">
      <c r="A175" s="7" t="s">
        <v>140</v>
      </c>
      <c r="B175" s="7" t="s">
        <v>82</v>
      </c>
      <c r="C175" s="24" t="s">
        <v>34</v>
      </c>
      <c r="D175" s="24" t="s">
        <v>35</v>
      </c>
      <c r="E175" s="8">
        <v>46071</v>
      </c>
      <c r="F175" s="8">
        <v>46081</v>
      </c>
      <c r="G175" s="9">
        <f t="shared" si="34"/>
        <v>11</v>
      </c>
      <c r="H175" s="10">
        <v>18</v>
      </c>
      <c r="I175" s="10">
        <v>8</v>
      </c>
      <c r="J175" s="10">
        <v>7</v>
      </c>
      <c r="K175" s="11">
        <f t="shared" si="28"/>
        <v>1.6363636363636365</v>
      </c>
      <c r="L175" s="11">
        <f t="shared" si="29"/>
        <v>0.72727272727272729</v>
      </c>
      <c r="M175" s="12">
        <f t="shared" si="30"/>
        <v>0.44444444444444442</v>
      </c>
      <c r="N175" s="11">
        <f t="shared" si="31"/>
        <v>0.63636363636363635</v>
      </c>
      <c r="O175" s="12">
        <f t="shared" si="32"/>
        <v>0.875</v>
      </c>
      <c r="P175" s="12">
        <f t="shared" si="33"/>
        <v>0.3888888888888889</v>
      </c>
      <c r="Q175" s="13">
        <f t="shared" si="35"/>
        <v>0.72727272727272729</v>
      </c>
      <c r="R175" s="13">
        <f t="shared" si="36"/>
        <v>0.63636363636363646</v>
      </c>
    </row>
    <row r="176" spans="1:18" ht="15.75" customHeight="1" x14ac:dyDescent="0.3">
      <c r="A176" s="7" t="s">
        <v>140</v>
      </c>
      <c r="B176" s="7" t="s">
        <v>78</v>
      </c>
      <c r="C176" s="24" t="s">
        <v>34</v>
      </c>
      <c r="D176" s="24" t="s">
        <v>35</v>
      </c>
      <c r="E176" s="8">
        <v>46071</v>
      </c>
      <c r="F176" s="8">
        <v>46081</v>
      </c>
      <c r="G176" s="9">
        <f t="shared" si="34"/>
        <v>11</v>
      </c>
      <c r="H176" s="10">
        <v>878</v>
      </c>
      <c r="I176" s="10">
        <v>312</v>
      </c>
      <c r="J176" s="10">
        <v>192</v>
      </c>
      <c r="K176" s="11">
        <f t="shared" si="28"/>
        <v>79.818181818181813</v>
      </c>
      <c r="L176" s="11">
        <f t="shared" si="29"/>
        <v>28.363636363636363</v>
      </c>
      <c r="M176" s="12">
        <f t="shared" si="30"/>
        <v>0.3553530751708428</v>
      </c>
      <c r="N176" s="11">
        <f t="shared" si="31"/>
        <v>17.454545454545453</v>
      </c>
      <c r="O176" s="12">
        <f t="shared" si="32"/>
        <v>0.61538461538461542</v>
      </c>
      <c r="P176" s="12">
        <f t="shared" si="33"/>
        <v>0.21867881548974943</v>
      </c>
      <c r="Q176" s="13">
        <f t="shared" si="35"/>
        <v>28.36363636363636</v>
      </c>
      <c r="R176" s="13">
        <f t="shared" si="36"/>
        <v>17.454545454545453</v>
      </c>
    </row>
    <row r="177" spans="1:18" ht="15.75" customHeight="1" x14ac:dyDescent="0.3">
      <c r="A177" s="7" t="s">
        <v>140</v>
      </c>
      <c r="B177" s="7" t="s">
        <v>141</v>
      </c>
      <c r="C177" s="24" t="s">
        <v>34</v>
      </c>
      <c r="D177" s="24" t="s">
        <v>91</v>
      </c>
      <c r="E177" s="8">
        <v>46071</v>
      </c>
      <c r="F177" s="8">
        <v>46081</v>
      </c>
      <c r="G177" s="9">
        <f t="shared" si="34"/>
        <v>11</v>
      </c>
      <c r="H177" s="10">
        <v>47</v>
      </c>
      <c r="I177" s="10">
        <v>16</v>
      </c>
      <c r="J177" s="10">
        <v>15</v>
      </c>
      <c r="K177" s="11">
        <f t="shared" si="28"/>
        <v>4.2727272727272725</v>
      </c>
      <c r="L177" s="11">
        <f t="shared" si="29"/>
        <v>1.4545454545454546</v>
      </c>
      <c r="M177" s="12">
        <f t="shared" si="30"/>
        <v>0.34042553191489361</v>
      </c>
      <c r="N177" s="11">
        <f t="shared" si="31"/>
        <v>1.3636363636363635</v>
      </c>
      <c r="O177" s="12">
        <f t="shared" si="32"/>
        <v>0.9375</v>
      </c>
      <c r="P177" s="12">
        <f t="shared" si="33"/>
        <v>0.31914893617021278</v>
      </c>
      <c r="Q177" s="13">
        <f t="shared" si="35"/>
        <v>1.4545454545454544</v>
      </c>
      <c r="R177" s="13">
        <f t="shared" si="36"/>
        <v>1.3636363636363635</v>
      </c>
    </row>
    <row r="178" spans="1:18" ht="15.75" customHeight="1" x14ac:dyDescent="0.3">
      <c r="A178" s="7" t="s">
        <v>140</v>
      </c>
      <c r="B178" s="7" t="s">
        <v>142</v>
      </c>
      <c r="C178" s="24" t="s">
        <v>34</v>
      </c>
      <c r="D178" s="24" t="s">
        <v>39</v>
      </c>
      <c r="E178" s="8">
        <v>46071</v>
      </c>
      <c r="F178" s="8">
        <v>46081</v>
      </c>
      <c r="G178" s="9">
        <f t="shared" si="34"/>
        <v>11</v>
      </c>
      <c r="H178" s="10">
        <v>137</v>
      </c>
      <c r="I178" s="10">
        <v>25</v>
      </c>
      <c r="J178" s="10">
        <v>21</v>
      </c>
      <c r="K178" s="11">
        <f t="shared" si="28"/>
        <v>12.454545454545455</v>
      </c>
      <c r="L178" s="11">
        <f t="shared" si="29"/>
        <v>2.2727272727272729</v>
      </c>
      <c r="M178" s="12">
        <f t="shared" si="30"/>
        <v>0.18248175182481752</v>
      </c>
      <c r="N178" s="11">
        <f t="shared" si="31"/>
        <v>1.9090909090909092</v>
      </c>
      <c r="O178" s="12">
        <f t="shared" si="32"/>
        <v>0.84</v>
      </c>
      <c r="P178" s="12">
        <f t="shared" si="33"/>
        <v>0.15328467153284672</v>
      </c>
      <c r="Q178" s="13">
        <f t="shared" si="35"/>
        <v>2.2727272727272729</v>
      </c>
      <c r="R178" s="13">
        <f t="shared" si="36"/>
        <v>1.9090909090909092</v>
      </c>
    </row>
    <row r="179" spans="1:18" ht="15.75" customHeight="1" x14ac:dyDescent="0.3">
      <c r="A179" s="7" t="s">
        <v>140</v>
      </c>
      <c r="B179" s="7" t="s">
        <v>92</v>
      </c>
      <c r="C179" s="24" t="s">
        <v>34</v>
      </c>
      <c r="D179" s="24" t="s">
        <v>76</v>
      </c>
      <c r="E179" s="8">
        <v>46071</v>
      </c>
      <c r="F179" s="8">
        <v>46081</v>
      </c>
      <c r="G179" s="9">
        <f t="shared" si="34"/>
        <v>11</v>
      </c>
      <c r="H179" s="10">
        <v>96</v>
      </c>
      <c r="I179" s="10">
        <v>19</v>
      </c>
      <c r="J179" s="10">
        <v>13</v>
      </c>
      <c r="K179" s="11">
        <f t="shared" si="28"/>
        <v>8.7272727272727266</v>
      </c>
      <c r="L179" s="11">
        <f t="shared" si="29"/>
        <v>1.7272727272727273</v>
      </c>
      <c r="M179" s="12">
        <f t="shared" si="30"/>
        <v>0.19791666666666666</v>
      </c>
      <c r="N179" s="11">
        <f t="shared" si="31"/>
        <v>1.1818181818181819</v>
      </c>
      <c r="O179" s="12">
        <f t="shared" si="32"/>
        <v>0.68421052631578949</v>
      </c>
      <c r="P179" s="12">
        <f t="shared" si="33"/>
        <v>0.13541666666666666</v>
      </c>
      <c r="Q179" s="13">
        <f t="shared" si="35"/>
        <v>1.7272727272727271</v>
      </c>
      <c r="R179" s="13">
        <f t="shared" si="36"/>
        <v>1.1818181818181817</v>
      </c>
    </row>
    <row r="180" spans="1:18" ht="15.75" customHeight="1" x14ac:dyDescent="0.3">
      <c r="A180" s="7" t="s">
        <v>140</v>
      </c>
      <c r="B180" s="7" t="s">
        <v>45</v>
      </c>
      <c r="C180" s="24" t="s">
        <v>34</v>
      </c>
      <c r="D180" s="24" t="s">
        <v>44</v>
      </c>
      <c r="E180" s="8">
        <v>46071</v>
      </c>
      <c r="F180" s="8">
        <v>46081</v>
      </c>
      <c r="G180" s="9">
        <f t="shared" si="34"/>
        <v>11</v>
      </c>
      <c r="H180" s="10">
        <v>1204</v>
      </c>
      <c r="I180" s="10">
        <v>214</v>
      </c>
      <c r="J180" s="10">
        <v>154</v>
      </c>
      <c r="K180" s="11">
        <f t="shared" si="28"/>
        <v>109.45454545454545</v>
      </c>
      <c r="L180" s="11">
        <f t="shared" si="29"/>
        <v>19.454545454545453</v>
      </c>
      <c r="M180" s="12">
        <f t="shared" si="30"/>
        <v>0.17774086378737541</v>
      </c>
      <c r="N180" s="11">
        <f t="shared" si="31"/>
        <v>14</v>
      </c>
      <c r="O180" s="12">
        <f t="shared" si="32"/>
        <v>0.71962616822429903</v>
      </c>
      <c r="P180" s="12">
        <f t="shared" si="33"/>
        <v>0.12790697674418605</v>
      </c>
    </row>
    <row r="181" spans="1:18" ht="15.75" customHeight="1" x14ac:dyDescent="0.3">
      <c r="A181" s="7" t="s">
        <v>140</v>
      </c>
      <c r="B181" s="7" t="s">
        <v>43</v>
      </c>
      <c r="C181" s="24" t="s">
        <v>34</v>
      </c>
      <c r="D181" s="24" t="s">
        <v>44</v>
      </c>
      <c r="E181" s="8">
        <v>46071</v>
      </c>
      <c r="F181" s="8">
        <v>46081</v>
      </c>
      <c r="G181" s="9">
        <f t="shared" si="34"/>
        <v>11</v>
      </c>
      <c r="H181" s="10">
        <v>731</v>
      </c>
      <c r="I181" s="10">
        <v>136</v>
      </c>
      <c r="J181" s="10">
        <v>100</v>
      </c>
      <c r="K181" s="11">
        <f t="shared" si="28"/>
        <v>66.454545454545453</v>
      </c>
      <c r="L181" s="11">
        <f t="shared" si="29"/>
        <v>12.363636363636363</v>
      </c>
      <c r="M181" s="12">
        <f t="shared" si="30"/>
        <v>0.18604651162790697</v>
      </c>
      <c r="N181" s="11">
        <f t="shared" si="31"/>
        <v>9.0909090909090917</v>
      </c>
      <c r="O181" s="12">
        <f t="shared" si="32"/>
        <v>0.73529411764705888</v>
      </c>
      <c r="P181" s="12">
        <f t="shared" si="33"/>
        <v>0.13679890560875513</v>
      </c>
      <c r="Q181" s="13">
        <f t="shared" ref="Q181:Q197" si="37">IFERROR((I181/H181)*K181,"")</f>
        <v>12.363636363636363</v>
      </c>
      <c r="R181" s="13">
        <f t="shared" ref="R181:R197" si="38">IFERROR((J181/H181)*K181,"")</f>
        <v>9.0909090909090899</v>
      </c>
    </row>
    <row r="182" spans="1:18" ht="15.75" customHeight="1" x14ac:dyDescent="0.3">
      <c r="A182" s="7" t="s">
        <v>140</v>
      </c>
      <c r="B182" s="7" t="s">
        <v>117</v>
      </c>
      <c r="C182" s="24" t="s">
        <v>47</v>
      </c>
      <c r="D182" s="24" t="s">
        <v>48</v>
      </c>
      <c r="E182" s="8">
        <v>46071</v>
      </c>
      <c r="F182" s="8">
        <v>46081</v>
      </c>
      <c r="G182" s="9">
        <f t="shared" si="34"/>
        <v>11</v>
      </c>
      <c r="H182" s="10">
        <v>3251</v>
      </c>
      <c r="I182" s="10">
        <v>1213</v>
      </c>
      <c r="J182" s="10">
        <v>852</v>
      </c>
      <c r="K182" s="11">
        <f t="shared" si="28"/>
        <v>295.54545454545456</v>
      </c>
      <c r="L182" s="11">
        <f t="shared" si="29"/>
        <v>110.27272727272727</v>
      </c>
      <c r="M182" s="12">
        <f t="shared" si="30"/>
        <v>0.37311596431867117</v>
      </c>
      <c r="N182" s="11">
        <f t="shared" si="31"/>
        <v>77.454545454545453</v>
      </c>
      <c r="O182" s="12">
        <f t="shared" si="32"/>
        <v>0.7023907666941468</v>
      </c>
      <c r="P182" s="12">
        <f t="shared" si="33"/>
        <v>0.26207320824361735</v>
      </c>
      <c r="Q182" s="13">
        <f t="shared" si="37"/>
        <v>110.27272727272728</v>
      </c>
      <c r="R182" s="13">
        <f t="shared" si="38"/>
        <v>77.454545454545453</v>
      </c>
    </row>
    <row r="183" spans="1:18" ht="15.75" customHeight="1" x14ac:dyDescent="0.3">
      <c r="A183" s="7" t="s">
        <v>140</v>
      </c>
      <c r="B183" s="7" t="s">
        <v>118</v>
      </c>
      <c r="C183" s="24" t="s">
        <v>47</v>
      </c>
      <c r="D183" s="24" t="s">
        <v>48</v>
      </c>
      <c r="E183" s="8">
        <v>46071</v>
      </c>
      <c r="F183" s="8">
        <v>46081</v>
      </c>
      <c r="G183" s="9">
        <f t="shared" si="34"/>
        <v>11</v>
      </c>
      <c r="H183" s="10">
        <v>153</v>
      </c>
      <c r="I183" s="10">
        <v>41</v>
      </c>
      <c r="J183" s="10">
        <v>25</v>
      </c>
      <c r="K183" s="11">
        <f t="shared" si="28"/>
        <v>13.909090909090908</v>
      </c>
      <c r="L183" s="11">
        <f t="shared" si="29"/>
        <v>3.7272727272727271</v>
      </c>
      <c r="M183" s="12">
        <f t="shared" si="30"/>
        <v>0.26797385620915032</v>
      </c>
      <c r="N183" s="11">
        <f t="shared" si="31"/>
        <v>2.2727272727272729</v>
      </c>
      <c r="O183" s="12">
        <f t="shared" si="32"/>
        <v>0.6097560975609756</v>
      </c>
      <c r="P183" s="12">
        <f t="shared" si="33"/>
        <v>0.16339869281045752</v>
      </c>
      <c r="Q183" s="13">
        <f t="shared" si="37"/>
        <v>3.7272727272727271</v>
      </c>
      <c r="R183" s="13">
        <f t="shared" si="38"/>
        <v>2.2727272727272725</v>
      </c>
    </row>
    <row r="184" spans="1:18" ht="15.75" customHeight="1" x14ac:dyDescent="0.3">
      <c r="A184" s="7" t="s">
        <v>140</v>
      </c>
      <c r="B184" s="7" t="s">
        <v>46</v>
      </c>
      <c r="C184" s="24" t="s">
        <v>47</v>
      </c>
      <c r="D184" s="24" t="s">
        <v>48</v>
      </c>
      <c r="E184" s="8">
        <v>46071</v>
      </c>
      <c r="F184" s="8">
        <v>46081</v>
      </c>
      <c r="G184" s="9">
        <f t="shared" si="34"/>
        <v>11</v>
      </c>
      <c r="H184" s="10">
        <v>985</v>
      </c>
      <c r="I184" s="10">
        <v>358</v>
      </c>
      <c r="J184" s="10">
        <v>260</v>
      </c>
      <c r="K184" s="11">
        <f t="shared" si="28"/>
        <v>89.545454545454547</v>
      </c>
      <c r="L184" s="11">
        <f t="shared" si="29"/>
        <v>32.545454545454547</v>
      </c>
      <c r="M184" s="12">
        <f t="shared" si="30"/>
        <v>0.36345177664974621</v>
      </c>
      <c r="N184" s="11">
        <f t="shared" si="31"/>
        <v>23.636363636363637</v>
      </c>
      <c r="O184" s="12">
        <f t="shared" si="32"/>
        <v>0.72625698324022347</v>
      </c>
      <c r="P184" s="12">
        <f t="shared" si="33"/>
        <v>0.26395939086294418</v>
      </c>
      <c r="Q184" s="13">
        <f t="shared" si="37"/>
        <v>32.545454545454547</v>
      </c>
      <c r="R184" s="13">
        <f t="shared" si="38"/>
        <v>23.636363636363637</v>
      </c>
    </row>
    <row r="185" spans="1:18" ht="15.75" customHeight="1" x14ac:dyDescent="0.3">
      <c r="A185" s="7" t="s">
        <v>140</v>
      </c>
      <c r="B185" s="7" t="s">
        <v>49</v>
      </c>
      <c r="C185" s="24" t="s">
        <v>47</v>
      </c>
      <c r="D185" s="24" t="s">
        <v>48</v>
      </c>
      <c r="E185" s="8">
        <v>46071</v>
      </c>
      <c r="F185" s="8">
        <v>46081</v>
      </c>
      <c r="G185" s="9">
        <f t="shared" si="34"/>
        <v>11</v>
      </c>
      <c r="H185" s="10">
        <v>51</v>
      </c>
      <c r="I185" s="10">
        <v>20</v>
      </c>
      <c r="J185" s="10">
        <v>12</v>
      </c>
      <c r="K185" s="11">
        <f t="shared" si="28"/>
        <v>4.6363636363636367</v>
      </c>
      <c r="L185" s="11">
        <f t="shared" si="29"/>
        <v>1.8181818181818181</v>
      </c>
      <c r="M185" s="12">
        <f t="shared" si="30"/>
        <v>0.39215686274509803</v>
      </c>
      <c r="N185" s="11">
        <f t="shared" si="31"/>
        <v>1.0909090909090908</v>
      </c>
      <c r="O185" s="12">
        <f t="shared" si="32"/>
        <v>0.6</v>
      </c>
      <c r="P185" s="12">
        <f t="shared" si="33"/>
        <v>0.23529411764705882</v>
      </c>
      <c r="Q185" s="13">
        <f t="shared" si="37"/>
        <v>1.8181818181818183</v>
      </c>
      <c r="R185" s="13">
        <f t="shared" si="38"/>
        <v>1.0909090909090911</v>
      </c>
    </row>
    <row r="186" spans="1:18" ht="15.75" customHeight="1" x14ac:dyDescent="0.3">
      <c r="A186" s="7" t="s">
        <v>140</v>
      </c>
      <c r="B186" s="7" t="s">
        <v>143</v>
      </c>
      <c r="C186" s="24" t="s">
        <v>47</v>
      </c>
      <c r="D186" s="24" t="s">
        <v>48</v>
      </c>
      <c r="E186" s="8">
        <v>46071</v>
      </c>
      <c r="F186" s="8">
        <v>46081</v>
      </c>
      <c r="G186" s="9">
        <f t="shared" si="34"/>
        <v>11</v>
      </c>
      <c r="H186" s="10">
        <v>4</v>
      </c>
      <c r="I186" s="10">
        <v>1</v>
      </c>
      <c r="J186" s="10">
        <v>0</v>
      </c>
      <c r="K186" s="11">
        <f t="shared" si="28"/>
        <v>0.36363636363636365</v>
      </c>
      <c r="L186" s="11">
        <f t="shared" si="29"/>
        <v>9.0909090909090912E-2</v>
      </c>
      <c r="M186" s="12">
        <f t="shared" si="30"/>
        <v>0.25</v>
      </c>
      <c r="N186" s="11">
        <f t="shared" si="31"/>
        <v>0</v>
      </c>
      <c r="O186" s="12">
        <f t="shared" si="32"/>
        <v>0</v>
      </c>
      <c r="P186" s="12">
        <f t="shared" si="33"/>
        <v>0</v>
      </c>
      <c r="Q186" s="13">
        <f t="shared" si="37"/>
        <v>9.0909090909090912E-2</v>
      </c>
      <c r="R186" s="13">
        <f t="shared" si="38"/>
        <v>0</v>
      </c>
    </row>
    <row r="187" spans="1:18" ht="15.75" customHeight="1" x14ac:dyDescent="0.3">
      <c r="A187" s="7" t="s">
        <v>140</v>
      </c>
      <c r="B187" s="7" t="s">
        <v>144</v>
      </c>
      <c r="C187" s="24" t="s">
        <v>47</v>
      </c>
      <c r="D187" s="24" t="s">
        <v>48</v>
      </c>
      <c r="E187" s="8">
        <v>46071</v>
      </c>
      <c r="F187" s="8">
        <v>46081</v>
      </c>
      <c r="G187" s="9">
        <f t="shared" si="34"/>
        <v>11</v>
      </c>
      <c r="H187" s="10">
        <v>0</v>
      </c>
      <c r="I187" s="10">
        <v>0</v>
      </c>
      <c r="J187" s="10">
        <v>0</v>
      </c>
      <c r="K187" s="11">
        <f t="shared" si="28"/>
        <v>0</v>
      </c>
      <c r="L187" s="11">
        <f t="shared" si="29"/>
        <v>0</v>
      </c>
      <c r="M187" s="12" t="str">
        <f t="shared" si="30"/>
        <v/>
      </c>
      <c r="N187" s="11">
        <f t="shared" si="31"/>
        <v>0</v>
      </c>
      <c r="O187" s="12" t="str">
        <f t="shared" si="32"/>
        <v/>
      </c>
      <c r="P187" s="12" t="str">
        <f t="shared" si="33"/>
        <v/>
      </c>
      <c r="Q187" s="13" t="str">
        <f t="shared" si="37"/>
        <v/>
      </c>
      <c r="R187" s="13" t="str">
        <f t="shared" si="38"/>
        <v/>
      </c>
    </row>
    <row r="188" spans="1:18" ht="15.75" customHeight="1" x14ac:dyDescent="0.3">
      <c r="A188" s="7" t="s">
        <v>140</v>
      </c>
      <c r="B188" s="7" t="s">
        <v>145</v>
      </c>
      <c r="C188" s="24" t="s">
        <v>47</v>
      </c>
      <c r="D188" s="24" t="s">
        <v>53</v>
      </c>
      <c r="E188" s="8">
        <v>46071</v>
      </c>
      <c r="F188" s="8">
        <v>46081</v>
      </c>
      <c r="G188" s="9">
        <f t="shared" si="34"/>
        <v>11</v>
      </c>
      <c r="H188" s="10">
        <v>176</v>
      </c>
      <c r="I188" s="10">
        <v>67</v>
      </c>
      <c r="J188" s="10">
        <v>56</v>
      </c>
      <c r="K188" s="11">
        <f t="shared" si="28"/>
        <v>16</v>
      </c>
      <c r="L188" s="11">
        <f t="shared" si="29"/>
        <v>6.0909090909090908</v>
      </c>
      <c r="M188" s="12">
        <f t="shared" si="30"/>
        <v>0.38068181818181818</v>
      </c>
      <c r="N188" s="11">
        <f t="shared" si="31"/>
        <v>5.0909090909090908</v>
      </c>
      <c r="O188" s="12">
        <f t="shared" si="32"/>
        <v>0.83582089552238803</v>
      </c>
      <c r="P188" s="12">
        <f t="shared" si="33"/>
        <v>0.31818181818181818</v>
      </c>
      <c r="Q188" s="13">
        <f t="shared" si="37"/>
        <v>6.0909090909090908</v>
      </c>
      <c r="R188" s="13">
        <f t="shared" si="38"/>
        <v>5.0909090909090908</v>
      </c>
    </row>
    <row r="189" spans="1:18" ht="15.75" customHeight="1" x14ac:dyDescent="0.3">
      <c r="A189" s="7" t="s">
        <v>140</v>
      </c>
      <c r="B189" s="7" t="s">
        <v>97</v>
      </c>
      <c r="C189" s="24" t="s">
        <v>47</v>
      </c>
      <c r="D189" s="24" t="s">
        <v>53</v>
      </c>
      <c r="E189" s="8">
        <v>46071</v>
      </c>
      <c r="F189" s="8">
        <v>46081</v>
      </c>
      <c r="G189" s="9">
        <f t="shared" si="34"/>
        <v>11</v>
      </c>
      <c r="H189" s="10">
        <v>298</v>
      </c>
      <c r="I189" s="10">
        <v>112</v>
      </c>
      <c r="J189" s="10">
        <v>82</v>
      </c>
      <c r="K189" s="11">
        <f t="shared" si="28"/>
        <v>27.09090909090909</v>
      </c>
      <c r="L189" s="11">
        <f t="shared" si="29"/>
        <v>10.181818181818182</v>
      </c>
      <c r="M189" s="12">
        <f t="shared" si="30"/>
        <v>0.37583892617449666</v>
      </c>
      <c r="N189" s="11">
        <f t="shared" si="31"/>
        <v>7.4545454545454541</v>
      </c>
      <c r="O189" s="12">
        <f t="shared" si="32"/>
        <v>0.7321428571428571</v>
      </c>
      <c r="P189" s="12">
        <f t="shared" si="33"/>
        <v>0.27516778523489932</v>
      </c>
      <c r="Q189" s="13">
        <f t="shared" si="37"/>
        <v>10.181818181818182</v>
      </c>
      <c r="R189" s="13">
        <f t="shared" si="38"/>
        <v>7.4545454545454541</v>
      </c>
    </row>
    <row r="190" spans="1:18" ht="15.75" customHeight="1" x14ac:dyDescent="0.3">
      <c r="A190" s="7" t="s">
        <v>140</v>
      </c>
      <c r="B190" s="7" t="s">
        <v>437</v>
      </c>
      <c r="C190" s="24" t="s">
        <v>433</v>
      </c>
      <c r="D190" s="24" t="s">
        <v>433</v>
      </c>
      <c r="E190" s="8">
        <v>46071</v>
      </c>
      <c r="F190" s="8">
        <v>46081</v>
      </c>
      <c r="G190" s="9">
        <f t="shared" si="34"/>
        <v>11</v>
      </c>
      <c r="H190" s="10" t="s">
        <v>433</v>
      </c>
      <c r="I190" s="10" t="s">
        <v>433</v>
      </c>
      <c r="J190" s="10" t="s">
        <v>433</v>
      </c>
      <c r="K190" s="11" t="str">
        <f t="shared" si="28"/>
        <v/>
      </c>
      <c r="L190" s="11" t="str">
        <f t="shared" si="29"/>
        <v/>
      </c>
      <c r="M190" s="12" t="str">
        <f t="shared" si="30"/>
        <v/>
      </c>
      <c r="N190" s="11" t="str">
        <f t="shared" si="31"/>
        <v/>
      </c>
      <c r="O190" s="12" t="str">
        <f t="shared" si="32"/>
        <v/>
      </c>
      <c r="P190" s="12" t="str">
        <f t="shared" si="33"/>
        <v/>
      </c>
      <c r="Q190" s="13" t="str">
        <f t="shared" si="37"/>
        <v/>
      </c>
      <c r="R190" s="13" t="str">
        <f t="shared" si="38"/>
        <v/>
      </c>
    </row>
    <row r="191" spans="1:18" ht="15.75" customHeight="1" x14ac:dyDescent="0.3">
      <c r="A191" s="7" t="s">
        <v>140</v>
      </c>
      <c r="B191" s="7" t="s">
        <v>438</v>
      </c>
      <c r="C191" s="24" t="s">
        <v>433</v>
      </c>
      <c r="D191" s="24" t="s">
        <v>433</v>
      </c>
      <c r="E191" s="8">
        <v>46071</v>
      </c>
      <c r="F191" s="8">
        <v>46081</v>
      </c>
      <c r="G191" s="9">
        <f t="shared" si="34"/>
        <v>11</v>
      </c>
      <c r="H191" s="10" t="s">
        <v>433</v>
      </c>
      <c r="I191" s="10" t="s">
        <v>433</v>
      </c>
      <c r="J191" s="10" t="s">
        <v>433</v>
      </c>
      <c r="K191" s="11" t="str">
        <f t="shared" si="28"/>
        <v/>
      </c>
      <c r="L191" s="11" t="str">
        <f t="shared" si="29"/>
        <v/>
      </c>
      <c r="M191" s="12" t="str">
        <f t="shared" si="30"/>
        <v/>
      </c>
      <c r="N191" s="11" t="str">
        <f t="shared" si="31"/>
        <v/>
      </c>
      <c r="O191" s="12" t="str">
        <f t="shared" si="32"/>
        <v/>
      </c>
      <c r="P191" s="12" t="str">
        <f t="shared" si="33"/>
        <v/>
      </c>
      <c r="Q191" s="13" t="str">
        <f t="shared" si="37"/>
        <v/>
      </c>
      <c r="R191" s="13" t="str">
        <f t="shared" si="38"/>
        <v/>
      </c>
    </row>
    <row r="192" spans="1:18" ht="15.75" customHeight="1" x14ac:dyDescent="0.3">
      <c r="A192" s="7" t="s">
        <v>140</v>
      </c>
      <c r="B192" s="7" t="s">
        <v>148</v>
      </c>
      <c r="C192" s="24" t="s">
        <v>443</v>
      </c>
      <c r="D192" s="24" t="s">
        <v>147</v>
      </c>
      <c r="E192" s="8">
        <v>46071</v>
      </c>
      <c r="F192" s="8">
        <v>46081</v>
      </c>
      <c r="G192" s="9">
        <f t="shared" si="34"/>
        <v>11</v>
      </c>
      <c r="H192" s="10" t="s">
        <v>433</v>
      </c>
      <c r="I192" s="10" t="s">
        <v>433</v>
      </c>
      <c r="J192" s="10" t="s">
        <v>433</v>
      </c>
      <c r="K192" s="11" t="str">
        <f t="shared" si="28"/>
        <v/>
      </c>
      <c r="L192" s="11" t="str">
        <f t="shared" si="29"/>
        <v/>
      </c>
      <c r="M192" s="12" t="str">
        <f t="shared" si="30"/>
        <v/>
      </c>
      <c r="N192" s="11" t="str">
        <f t="shared" si="31"/>
        <v/>
      </c>
      <c r="O192" s="12" t="str">
        <f t="shared" si="32"/>
        <v/>
      </c>
      <c r="P192" s="12" t="str">
        <f t="shared" si="33"/>
        <v/>
      </c>
      <c r="Q192" s="13" t="str">
        <f t="shared" si="37"/>
        <v/>
      </c>
      <c r="R192" s="13" t="str">
        <f t="shared" si="38"/>
        <v/>
      </c>
    </row>
    <row r="193" spans="1:18" ht="15.75" customHeight="1" x14ac:dyDescent="0.3">
      <c r="A193" s="7" t="s">
        <v>140</v>
      </c>
      <c r="B193" s="7" t="s">
        <v>149</v>
      </c>
      <c r="C193" s="24" t="s">
        <v>443</v>
      </c>
      <c r="D193" s="24" t="s">
        <v>147</v>
      </c>
      <c r="E193" s="8">
        <v>46071</v>
      </c>
      <c r="F193" s="8">
        <v>46081</v>
      </c>
      <c r="G193" s="9">
        <f t="shared" si="34"/>
        <v>11</v>
      </c>
      <c r="H193" s="10">
        <v>22</v>
      </c>
      <c r="I193" s="10">
        <v>4</v>
      </c>
      <c r="J193" s="10">
        <v>3</v>
      </c>
      <c r="K193" s="11">
        <f t="shared" si="28"/>
        <v>2</v>
      </c>
      <c r="L193" s="11">
        <f t="shared" si="29"/>
        <v>0.36363636363636365</v>
      </c>
      <c r="M193" s="12">
        <f t="shared" si="30"/>
        <v>0.18181818181818182</v>
      </c>
      <c r="N193" s="11">
        <f t="shared" si="31"/>
        <v>0.27272727272727271</v>
      </c>
      <c r="O193" s="12">
        <f t="shared" si="32"/>
        <v>0.75</v>
      </c>
      <c r="P193" s="12">
        <f t="shared" si="33"/>
        <v>0.13636363636363635</v>
      </c>
      <c r="Q193" s="13">
        <f t="shared" si="37"/>
        <v>0.36363636363636365</v>
      </c>
      <c r="R193" s="13">
        <f t="shared" si="38"/>
        <v>0.27272727272727271</v>
      </c>
    </row>
    <row r="194" spans="1:18" ht="15.75" customHeight="1" x14ac:dyDescent="0.3">
      <c r="A194" s="7" t="s">
        <v>140</v>
      </c>
      <c r="B194" s="7" t="s">
        <v>439</v>
      </c>
      <c r="C194" s="24" t="s">
        <v>433</v>
      </c>
      <c r="D194" s="24" t="s">
        <v>433</v>
      </c>
      <c r="E194" s="8">
        <v>46071</v>
      </c>
      <c r="F194" s="8">
        <v>46081</v>
      </c>
      <c r="G194" s="9">
        <f t="shared" si="34"/>
        <v>11</v>
      </c>
      <c r="H194" s="10">
        <v>0</v>
      </c>
      <c r="I194" s="10">
        <v>0</v>
      </c>
      <c r="J194" s="10">
        <v>0</v>
      </c>
      <c r="K194" s="11">
        <f t="shared" si="28"/>
        <v>0</v>
      </c>
      <c r="L194" s="11">
        <f t="shared" si="29"/>
        <v>0</v>
      </c>
      <c r="M194" s="12" t="str">
        <f t="shared" si="30"/>
        <v/>
      </c>
      <c r="N194" s="11">
        <f t="shared" si="31"/>
        <v>0</v>
      </c>
      <c r="O194" s="12" t="str">
        <f t="shared" si="32"/>
        <v/>
      </c>
      <c r="P194" s="12" t="str">
        <f t="shared" si="33"/>
        <v/>
      </c>
      <c r="Q194" s="13" t="str">
        <f t="shared" si="37"/>
        <v/>
      </c>
      <c r="R194" s="13" t="str">
        <f t="shared" si="38"/>
        <v/>
      </c>
    </row>
    <row r="195" spans="1:18" ht="15.75" customHeight="1" x14ac:dyDescent="0.3">
      <c r="A195" s="7" t="s">
        <v>140</v>
      </c>
      <c r="B195" s="7" t="s">
        <v>150</v>
      </c>
      <c r="C195" s="24" t="s">
        <v>443</v>
      </c>
      <c r="D195" s="24" t="s">
        <v>147</v>
      </c>
      <c r="E195" s="8">
        <v>46071</v>
      </c>
      <c r="F195" s="8">
        <v>46081</v>
      </c>
      <c r="G195" s="9">
        <f t="shared" si="34"/>
        <v>11</v>
      </c>
      <c r="H195" s="10">
        <v>190</v>
      </c>
      <c r="I195" s="10">
        <v>35</v>
      </c>
      <c r="J195" s="10">
        <v>25</v>
      </c>
      <c r="K195" s="11">
        <f t="shared" ref="K195:K258" si="39">IFERROR(H195/G195,"")</f>
        <v>17.272727272727273</v>
      </c>
      <c r="L195" s="11">
        <f t="shared" ref="L195:L258" si="40">IFERROR(I195/G195,"")</f>
        <v>3.1818181818181817</v>
      </c>
      <c r="M195" s="12">
        <f t="shared" ref="M195:M258" si="41">IFERROR(I195/H195,"")</f>
        <v>0.18421052631578946</v>
      </c>
      <c r="N195" s="11">
        <f t="shared" ref="N195:N258" si="42">IFERROR(J195/G195,"")</f>
        <v>2.2727272727272729</v>
      </c>
      <c r="O195" s="12">
        <f t="shared" ref="O195:O258" si="43">IFERROR(J195/I195,"")</f>
        <v>0.7142857142857143</v>
      </c>
      <c r="P195" s="12">
        <f t="shared" ref="P195:P258" si="44">IFERROR(J195/H195,"")</f>
        <v>0.13157894736842105</v>
      </c>
      <c r="Q195" s="13">
        <f t="shared" si="37"/>
        <v>3.1818181818181817</v>
      </c>
      <c r="R195" s="13">
        <f t="shared" si="38"/>
        <v>2.2727272727272725</v>
      </c>
    </row>
    <row r="196" spans="1:18" ht="15.75" customHeight="1" x14ac:dyDescent="0.3">
      <c r="A196" s="7" t="s">
        <v>140</v>
      </c>
      <c r="B196" s="7" t="s">
        <v>151</v>
      </c>
      <c r="C196" s="24" t="s">
        <v>443</v>
      </c>
      <c r="D196" s="24" t="s">
        <v>147</v>
      </c>
      <c r="E196" s="8">
        <v>46071</v>
      </c>
      <c r="F196" s="8">
        <v>46081</v>
      </c>
      <c r="G196" s="9">
        <f t="shared" ref="G196:G259" si="45">F196-E196+1</f>
        <v>11</v>
      </c>
      <c r="H196" s="10">
        <v>25</v>
      </c>
      <c r="I196" s="10">
        <v>3</v>
      </c>
      <c r="J196" s="10">
        <v>3</v>
      </c>
      <c r="K196" s="11">
        <f t="shared" si="39"/>
        <v>2.2727272727272729</v>
      </c>
      <c r="L196" s="11">
        <f t="shared" si="40"/>
        <v>0.27272727272727271</v>
      </c>
      <c r="M196" s="12">
        <f t="shared" si="41"/>
        <v>0.12</v>
      </c>
      <c r="N196" s="11">
        <f t="shared" si="42"/>
        <v>0.27272727272727271</v>
      </c>
      <c r="O196" s="12">
        <f t="shared" si="43"/>
        <v>1</v>
      </c>
      <c r="P196" s="12">
        <f t="shared" si="44"/>
        <v>0.12</v>
      </c>
      <c r="Q196" s="13">
        <f t="shared" si="37"/>
        <v>0.27272727272727276</v>
      </c>
      <c r="R196" s="13">
        <f t="shared" si="38"/>
        <v>0.27272727272727276</v>
      </c>
    </row>
    <row r="197" spans="1:18" ht="15.75" customHeight="1" x14ac:dyDescent="0.3">
      <c r="A197" s="7" t="s">
        <v>140</v>
      </c>
      <c r="B197" s="7" t="s">
        <v>152</v>
      </c>
      <c r="C197" s="24" t="s">
        <v>443</v>
      </c>
      <c r="D197" s="24" t="s">
        <v>147</v>
      </c>
      <c r="E197" s="8">
        <v>46071</v>
      </c>
      <c r="F197" s="8">
        <v>46081</v>
      </c>
      <c r="G197" s="9">
        <f t="shared" si="45"/>
        <v>11</v>
      </c>
      <c r="H197" s="10">
        <v>30</v>
      </c>
      <c r="I197" s="10">
        <v>2</v>
      </c>
      <c r="J197" s="10">
        <v>1</v>
      </c>
      <c r="K197" s="11">
        <f t="shared" si="39"/>
        <v>2.7272727272727271</v>
      </c>
      <c r="L197" s="11">
        <f t="shared" si="40"/>
        <v>0.18181818181818182</v>
      </c>
      <c r="M197" s="12">
        <f t="shared" si="41"/>
        <v>6.6666666666666666E-2</v>
      </c>
      <c r="N197" s="11">
        <f t="shared" si="42"/>
        <v>9.0909090909090912E-2</v>
      </c>
      <c r="O197" s="12">
        <f t="shared" si="43"/>
        <v>0.5</v>
      </c>
      <c r="P197" s="12">
        <f t="shared" si="44"/>
        <v>3.3333333333333333E-2</v>
      </c>
      <c r="Q197" s="13">
        <f t="shared" si="37"/>
        <v>0.1818181818181818</v>
      </c>
      <c r="R197" s="13">
        <f t="shared" si="38"/>
        <v>9.0909090909090898E-2</v>
      </c>
    </row>
    <row r="198" spans="1:18" ht="15.75" customHeight="1" x14ac:dyDescent="0.3">
      <c r="A198" s="7" t="s">
        <v>140</v>
      </c>
      <c r="B198" s="7" t="s">
        <v>121</v>
      </c>
      <c r="C198" s="24" t="s">
        <v>58</v>
      </c>
      <c r="D198" s="24" t="s">
        <v>61</v>
      </c>
      <c r="E198" s="8">
        <v>46071</v>
      </c>
      <c r="F198" s="8">
        <v>46081</v>
      </c>
      <c r="G198" s="9">
        <f t="shared" si="45"/>
        <v>11</v>
      </c>
      <c r="H198" s="10">
        <v>603</v>
      </c>
      <c r="I198" s="10">
        <v>158</v>
      </c>
      <c r="J198" s="10">
        <v>119</v>
      </c>
      <c r="K198" s="11">
        <f t="shared" si="39"/>
        <v>54.81818181818182</v>
      </c>
      <c r="L198" s="11">
        <f t="shared" si="40"/>
        <v>14.363636363636363</v>
      </c>
      <c r="M198" s="12">
        <f t="shared" si="41"/>
        <v>0.26202321724709782</v>
      </c>
      <c r="N198" s="11">
        <f t="shared" si="42"/>
        <v>10.818181818181818</v>
      </c>
      <c r="O198" s="12">
        <f t="shared" si="43"/>
        <v>0.75316455696202533</v>
      </c>
      <c r="P198" s="12">
        <f t="shared" si="44"/>
        <v>0.19734660033167495</v>
      </c>
    </row>
    <row r="199" spans="1:18" ht="15.75" customHeight="1" x14ac:dyDescent="0.3">
      <c r="A199" s="7" t="s">
        <v>140</v>
      </c>
      <c r="B199" s="7" t="s">
        <v>153</v>
      </c>
      <c r="C199" s="24" t="s">
        <v>58</v>
      </c>
      <c r="D199" s="24" t="s">
        <v>61</v>
      </c>
      <c r="E199" s="8">
        <v>46071</v>
      </c>
      <c r="F199" s="8">
        <v>46081</v>
      </c>
      <c r="G199" s="9">
        <f t="shared" si="45"/>
        <v>11</v>
      </c>
      <c r="H199" s="10">
        <v>440</v>
      </c>
      <c r="I199" s="10">
        <v>116</v>
      </c>
      <c r="J199" s="10">
        <v>93</v>
      </c>
      <c r="K199" s="11">
        <f t="shared" si="39"/>
        <v>40</v>
      </c>
      <c r="L199" s="11">
        <f t="shared" si="40"/>
        <v>10.545454545454545</v>
      </c>
      <c r="M199" s="12">
        <f t="shared" si="41"/>
        <v>0.26363636363636361</v>
      </c>
      <c r="N199" s="11">
        <f t="shared" si="42"/>
        <v>8.454545454545455</v>
      </c>
      <c r="O199" s="12">
        <f t="shared" si="43"/>
        <v>0.80172413793103448</v>
      </c>
      <c r="P199" s="12">
        <f t="shared" si="44"/>
        <v>0.21136363636363636</v>
      </c>
      <c r="Q199" s="13">
        <f t="shared" ref="Q199:Q226" si="46">IFERROR((I199/H199)*K199,"")</f>
        <v>10.545454545454545</v>
      </c>
      <c r="R199" s="13">
        <f t="shared" ref="R199:R226" si="47">IFERROR((J199/H199)*K199,"")</f>
        <v>8.454545454545455</v>
      </c>
    </row>
    <row r="200" spans="1:18" ht="15.75" customHeight="1" x14ac:dyDescent="0.3">
      <c r="A200" s="7" t="s">
        <v>140</v>
      </c>
      <c r="B200" s="7" t="s">
        <v>154</v>
      </c>
      <c r="C200" s="24" t="s">
        <v>58</v>
      </c>
      <c r="D200" s="24" t="s">
        <v>107</v>
      </c>
      <c r="E200" s="8">
        <v>46071</v>
      </c>
      <c r="F200" s="8">
        <v>46081</v>
      </c>
      <c r="G200" s="9">
        <f t="shared" si="45"/>
        <v>11</v>
      </c>
      <c r="H200" s="10">
        <v>161</v>
      </c>
      <c r="I200" s="10">
        <v>81</v>
      </c>
      <c r="J200" s="10">
        <v>57</v>
      </c>
      <c r="K200" s="11">
        <f t="shared" si="39"/>
        <v>14.636363636363637</v>
      </c>
      <c r="L200" s="11">
        <f t="shared" si="40"/>
        <v>7.3636363636363633</v>
      </c>
      <c r="M200" s="12">
        <f t="shared" si="41"/>
        <v>0.50310559006211175</v>
      </c>
      <c r="N200" s="11">
        <f t="shared" si="42"/>
        <v>5.1818181818181817</v>
      </c>
      <c r="O200" s="12">
        <f t="shared" si="43"/>
        <v>0.70370370370370372</v>
      </c>
      <c r="P200" s="12">
        <f t="shared" si="44"/>
        <v>0.35403726708074534</v>
      </c>
      <c r="Q200" s="13">
        <f t="shared" si="46"/>
        <v>7.3636363636363633</v>
      </c>
      <c r="R200" s="13">
        <f t="shared" si="47"/>
        <v>5.1818181818181817</v>
      </c>
    </row>
    <row r="201" spans="1:18" ht="15.75" customHeight="1" x14ac:dyDescent="0.3">
      <c r="A201" s="7" t="s">
        <v>140</v>
      </c>
      <c r="B201" s="7" t="s">
        <v>69</v>
      </c>
      <c r="C201" s="24" t="s">
        <v>58</v>
      </c>
      <c r="D201" s="24" t="s">
        <v>66</v>
      </c>
      <c r="E201" s="8">
        <v>46071</v>
      </c>
      <c r="F201" s="8">
        <v>46081</v>
      </c>
      <c r="G201" s="9">
        <f t="shared" si="45"/>
        <v>11</v>
      </c>
      <c r="H201" s="10">
        <v>264</v>
      </c>
      <c r="I201" s="10">
        <v>86</v>
      </c>
      <c r="J201" s="10">
        <v>56</v>
      </c>
      <c r="K201" s="11">
        <f t="shared" si="39"/>
        <v>24</v>
      </c>
      <c r="L201" s="11">
        <f t="shared" si="40"/>
        <v>7.8181818181818183</v>
      </c>
      <c r="M201" s="12">
        <f t="shared" si="41"/>
        <v>0.32575757575757575</v>
      </c>
      <c r="N201" s="11">
        <f t="shared" si="42"/>
        <v>5.0909090909090908</v>
      </c>
      <c r="O201" s="12">
        <f t="shared" si="43"/>
        <v>0.65116279069767447</v>
      </c>
      <c r="P201" s="12">
        <f t="shared" si="44"/>
        <v>0.21212121212121213</v>
      </c>
      <c r="Q201" s="13">
        <f t="shared" si="46"/>
        <v>7.8181818181818183</v>
      </c>
      <c r="R201" s="13">
        <f t="shared" si="47"/>
        <v>5.0909090909090908</v>
      </c>
    </row>
    <row r="202" spans="1:18" ht="15.75" customHeight="1" x14ac:dyDescent="0.3">
      <c r="A202" s="7" t="s">
        <v>140</v>
      </c>
      <c r="B202" s="7" t="s">
        <v>70</v>
      </c>
      <c r="C202" s="24" t="s">
        <v>58</v>
      </c>
      <c r="D202" s="24" t="s">
        <v>68</v>
      </c>
      <c r="E202" s="8">
        <v>46071</v>
      </c>
      <c r="F202" s="8">
        <v>46081</v>
      </c>
      <c r="G202" s="9">
        <f t="shared" si="45"/>
        <v>11</v>
      </c>
      <c r="H202" s="10">
        <v>50</v>
      </c>
      <c r="I202" s="10">
        <v>19</v>
      </c>
      <c r="J202" s="10">
        <v>17</v>
      </c>
      <c r="K202" s="11">
        <f t="shared" si="39"/>
        <v>4.5454545454545459</v>
      </c>
      <c r="L202" s="11">
        <f t="shared" si="40"/>
        <v>1.7272727272727273</v>
      </c>
      <c r="M202" s="12">
        <f t="shared" si="41"/>
        <v>0.38</v>
      </c>
      <c r="N202" s="11">
        <f t="shared" si="42"/>
        <v>1.5454545454545454</v>
      </c>
      <c r="O202" s="12">
        <f t="shared" si="43"/>
        <v>0.89473684210526316</v>
      </c>
      <c r="P202" s="12">
        <f t="shared" si="44"/>
        <v>0.34</v>
      </c>
      <c r="Q202" s="13">
        <f t="shared" si="46"/>
        <v>1.7272727272727275</v>
      </c>
      <c r="R202" s="13">
        <f t="shared" si="47"/>
        <v>1.5454545454545456</v>
      </c>
    </row>
    <row r="203" spans="1:18" ht="15.75" customHeight="1" x14ac:dyDescent="0.3">
      <c r="A203" s="7" t="s">
        <v>140</v>
      </c>
      <c r="B203" s="7" t="s">
        <v>136</v>
      </c>
      <c r="C203" s="24" t="s">
        <v>58</v>
      </c>
      <c r="D203" s="24" t="s">
        <v>66</v>
      </c>
      <c r="E203" s="8">
        <v>46071</v>
      </c>
      <c r="F203" s="8">
        <v>46081</v>
      </c>
      <c r="G203" s="9">
        <f t="shared" si="45"/>
        <v>11</v>
      </c>
      <c r="H203" s="10">
        <v>288</v>
      </c>
      <c r="I203" s="10">
        <v>92</v>
      </c>
      <c r="J203" s="10">
        <v>59</v>
      </c>
      <c r="K203" s="11">
        <f t="shared" si="39"/>
        <v>26.181818181818183</v>
      </c>
      <c r="L203" s="11">
        <f t="shared" si="40"/>
        <v>8.3636363636363633</v>
      </c>
      <c r="M203" s="12">
        <f t="shared" si="41"/>
        <v>0.31944444444444442</v>
      </c>
      <c r="N203" s="11">
        <f t="shared" si="42"/>
        <v>5.3636363636363633</v>
      </c>
      <c r="O203" s="12">
        <f t="shared" si="43"/>
        <v>0.64130434782608692</v>
      </c>
      <c r="P203" s="12">
        <f t="shared" si="44"/>
        <v>0.2048611111111111</v>
      </c>
      <c r="Q203" s="13">
        <f t="shared" si="46"/>
        <v>8.3636363636363633</v>
      </c>
      <c r="R203" s="13">
        <f t="shared" si="47"/>
        <v>5.3636363636363642</v>
      </c>
    </row>
    <row r="204" spans="1:18" ht="15.75" customHeight="1" x14ac:dyDescent="0.3">
      <c r="A204" s="7" t="s">
        <v>140</v>
      </c>
      <c r="B204" s="7" t="s">
        <v>137</v>
      </c>
      <c r="C204" s="24" t="s">
        <v>58</v>
      </c>
      <c r="D204" s="24" t="s">
        <v>68</v>
      </c>
      <c r="E204" s="8">
        <v>46071</v>
      </c>
      <c r="F204" s="8">
        <v>46081</v>
      </c>
      <c r="G204" s="9">
        <f t="shared" si="45"/>
        <v>11</v>
      </c>
      <c r="H204" s="10">
        <v>23</v>
      </c>
      <c r="I204" s="10">
        <v>12</v>
      </c>
      <c r="J204" s="10">
        <v>12</v>
      </c>
      <c r="K204" s="11">
        <f t="shared" si="39"/>
        <v>2.0909090909090908</v>
      </c>
      <c r="L204" s="11">
        <f t="shared" si="40"/>
        <v>1.0909090909090908</v>
      </c>
      <c r="M204" s="12">
        <f t="shared" si="41"/>
        <v>0.52173913043478259</v>
      </c>
      <c r="N204" s="11">
        <f t="shared" si="42"/>
        <v>1.0909090909090908</v>
      </c>
      <c r="O204" s="12">
        <f t="shared" si="43"/>
        <v>1</v>
      </c>
      <c r="P204" s="12">
        <f t="shared" si="44"/>
        <v>0.52173913043478259</v>
      </c>
      <c r="Q204" s="13">
        <f t="shared" si="46"/>
        <v>1.0909090909090908</v>
      </c>
      <c r="R204" s="13">
        <f t="shared" si="47"/>
        <v>1.0909090909090908</v>
      </c>
    </row>
    <row r="205" spans="1:18" ht="15.75" customHeight="1" x14ac:dyDescent="0.3">
      <c r="A205" s="7" t="s">
        <v>140</v>
      </c>
      <c r="B205" s="7" t="s">
        <v>138</v>
      </c>
      <c r="C205" s="24" t="s">
        <v>58</v>
      </c>
      <c r="D205" s="24" t="s">
        <v>66</v>
      </c>
      <c r="E205" s="8">
        <v>46071</v>
      </c>
      <c r="F205" s="8">
        <v>46081</v>
      </c>
      <c r="G205" s="9">
        <f t="shared" si="45"/>
        <v>11</v>
      </c>
      <c r="H205" s="10">
        <v>526</v>
      </c>
      <c r="I205" s="10">
        <v>142</v>
      </c>
      <c r="J205" s="10">
        <v>89</v>
      </c>
      <c r="K205" s="11">
        <f t="shared" si="39"/>
        <v>47.81818181818182</v>
      </c>
      <c r="L205" s="11">
        <f t="shared" si="40"/>
        <v>12.909090909090908</v>
      </c>
      <c r="M205" s="12">
        <f t="shared" si="41"/>
        <v>0.26996197718631176</v>
      </c>
      <c r="N205" s="11">
        <f t="shared" si="42"/>
        <v>8.0909090909090917</v>
      </c>
      <c r="O205" s="12">
        <f t="shared" si="43"/>
        <v>0.62676056338028174</v>
      </c>
      <c r="P205" s="12">
        <f t="shared" si="44"/>
        <v>0.16920152091254753</v>
      </c>
      <c r="Q205" s="13">
        <f t="shared" si="46"/>
        <v>12.909090909090908</v>
      </c>
      <c r="R205" s="13">
        <f t="shared" si="47"/>
        <v>8.0909090909090917</v>
      </c>
    </row>
    <row r="206" spans="1:18" ht="15.75" customHeight="1" x14ac:dyDescent="0.3">
      <c r="A206" s="7" t="s">
        <v>140</v>
      </c>
      <c r="B206" s="7" t="s">
        <v>139</v>
      </c>
      <c r="C206" s="24" t="s">
        <v>58</v>
      </c>
      <c r="D206" s="24" t="s">
        <v>68</v>
      </c>
      <c r="E206" s="8">
        <v>46071</v>
      </c>
      <c r="F206" s="8">
        <v>46081</v>
      </c>
      <c r="G206" s="9">
        <f t="shared" si="45"/>
        <v>11</v>
      </c>
      <c r="H206" s="10">
        <v>89</v>
      </c>
      <c r="I206" s="10">
        <v>44</v>
      </c>
      <c r="J206" s="10">
        <v>35</v>
      </c>
      <c r="K206" s="11">
        <f t="shared" si="39"/>
        <v>8.0909090909090917</v>
      </c>
      <c r="L206" s="11">
        <f t="shared" si="40"/>
        <v>4</v>
      </c>
      <c r="M206" s="12">
        <f t="shared" si="41"/>
        <v>0.4943820224719101</v>
      </c>
      <c r="N206" s="11">
        <f t="shared" si="42"/>
        <v>3.1818181818181817</v>
      </c>
      <c r="O206" s="12">
        <f t="shared" si="43"/>
        <v>0.79545454545454541</v>
      </c>
      <c r="P206" s="12">
        <f t="shared" si="44"/>
        <v>0.39325842696629215</v>
      </c>
      <c r="Q206" s="13">
        <f t="shared" si="46"/>
        <v>4</v>
      </c>
      <c r="R206" s="13">
        <f t="shared" si="47"/>
        <v>3.1818181818181821</v>
      </c>
    </row>
    <row r="207" spans="1:18" ht="15.75" customHeight="1" x14ac:dyDescent="0.3">
      <c r="A207" s="7" t="s">
        <v>140</v>
      </c>
      <c r="B207" s="7" t="s">
        <v>155</v>
      </c>
      <c r="C207" s="24" t="s">
        <v>58</v>
      </c>
      <c r="D207" s="24" t="s">
        <v>59</v>
      </c>
      <c r="E207" s="8">
        <v>46071</v>
      </c>
      <c r="F207" s="8">
        <v>46081</v>
      </c>
      <c r="G207" s="9">
        <f t="shared" si="45"/>
        <v>11</v>
      </c>
      <c r="H207" s="10">
        <v>104</v>
      </c>
      <c r="I207" s="10">
        <v>43</v>
      </c>
      <c r="J207" s="10">
        <v>33</v>
      </c>
      <c r="K207" s="11">
        <f t="shared" si="39"/>
        <v>9.454545454545455</v>
      </c>
      <c r="L207" s="11">
        <f t="shared" si="40"/>
        <v>3.9090909090909092</v>
      </c>
      <c r="M207" s="12">
        <f t="shared" si="41"/>
        <v>0.41346153846153844</v>
      </c>
      <c r="N207" s="11">
        <f t="shared" si="42"/>
        <v>3</v>
      </c>
      <c r="O207" s="12">
        <f t="shared" si="43"/>
        <v>0.76744186046511631</v>
      </c>
      <c r="P207" s="12">
        <f t="shared" si="44"/>
        <v>0.31730769230769229</v>
      </c>
      <c r="Q207" s="13">
        <f t="shared" si="46"/>
        <v>3.9090909090909092</v>
      </c>
      <c r="R207" s="13">
        <f t="shared" si="47"/>
        <v>3</v>
      </c>
    </row>
    <row r="208" spans="1:18" ht="15.75" customHeight="1" x14ac:dyDescent="0.3">
      <c r="A208" s="7" t="s">
        <v>140</v>
      </c>
      <c r="B208" s="7" t="s">
        <v>33</v>
      </c>
      <c r="C208" s="24" t="s">
        <v>34</v>
      </c>
      <c r="D208" s="24" t="s">
        <v>35</v>
      </c>
      <c r="E208" s="8">
        <v>46071</v>
      </c>
      <c r="F208" s="8">
        <v>46081</v>
      </c>
      <c r="G208" s="9">
        <f t="shared" si="45"/>
        <v>11</v>
      </c>
      <c r="H208" s="10">
        <v>487</v>
      </c>
      <c r="I208" s="10">
        <v>197</v>
      </c>
      <c r="J208" s="10">
        <v>132</v>
      </c>
      <c r="K208" s="11">
        <f t="shared" si="39"/>
        <v>44.272727272727273</v>
      </c>
      <c r="L208" s="11">
        <f t="shared" si="40"/>
        <v>17.90909090909091</v>
      </c>
      <c r="M208" s="12">
        <f t="shared" si="41"/>
        <v>0.40451745379876797</v>
      </c>
      <c r="N208" s="11">
        <f t="shared" si="42"/>
        <v>12</v>
      </c>
      <c r="O208" s="12">
        <f t="shared" si="43"/>
        <v>0.67005076142131981</v>
      </c>
      <c r="P208" s="12">
        <f t="shared" si="44"/>
        <v>0.27104722792607805</v>
      </c>
      <c r="Q208" s="13">
        <f t="shared" si="46"/>
        <v>17.90909090909091</v>
      </c>
      <c r="R208" s="13">
        <f t="shared" si="47"/>
        <v>12.000000000000002</v>
      </c>
    </row>
    <row r="209" spans="1:18" ht="15.75" customHeight="1" x14ac:dyDescent="0.3">
      <c r="A209" s="7" t="s">
        <v>140</v>
      </c>
      <c r="B209" s="7" t="s">
        <v>36</v>
      </c>
      <c r="C209" s="24" t="s">
        <v>34</v>
      </c>
      <c r="D209" s="24" t="s">
        <v>35</v>
      </c>
      <c r="E209" s="8">
        <v>46071</v>
      </c>
      <c r="F209" s="8">
        <v>46081</v>
      </c>
      <c r="G209" s="9">
        <f t="shared" si="45"/>
        <v>11</v>
      </c>
      <c r="H209" s="10" t="s">
        <v>433</v>
      </c>
      <c r="I209" s="10" t="s">
        <v>433</v>
      </c>
      <c r="J209" s="10" t="s">
        <v>433</v>
      </c>
      <c r="K209" s="11" t="str">
        <f t="shared" si="39"/>
        <v/>
      </c>
      <c r="L209" s="11" t="str">
        <f t="shared" si="40"/>
        <v/>
      </c>
      <c r="M209" s="12" t="str">
        <f t="shared" si="41"/>
        <v/>
      </c>
      <c r="N209" s="11" t="str">
        <f t="shared" si="42"/>
        <v/>
      </c>
      <c r="O209" s="12" t="str">
        <f t="shared" si="43"/>
        <v/>
      </c>
      <c r="P209" s="12" t="str">
        <f t="shared" si="44"/>
        <v/>
      </c>
      <c r="Q209" s="13" t="str">
        <f t="shared" si="46"/>
        <v/>
      </c>
      <c r="R209" s="13" t="str">
        <f t="shared" si="47"/>
        <v/>
      </c>
    </row>
    <row r="210" spans="1:18" ht="15.75" customHeight="1" x14ac:dyDescent="0.3">
      <c r="A210" s="7" t="s">
        <v>140</v>
      </c>
      <c r="B210" s="7" t="s">
        <v>90</v>
      </c>
      <c r="C210" s="24" t="s">
        <v>34</v>
      </c>
      <c r="D210" s="24" t="s">
        <v>91</v>
      </c>
      <c r="E210" s="8">
        <v>46071</v>
      </c>
      <c r="F210" s="8">
        <v>46081</v>
      </c>
      <c r="G210" s="9">
        <f t="shared" si="45"/>
        <v>11</v>
      </c>
      <c r="H210" s="10">
        <v>98</v>
      </c>
      <c r="I210" s="10">
        <v>36</v>
      </c>
      <c r="J210" s="10">
        <v>24</v>
      </c>
      <c r="K210" s="11">
        <f t="shared" si="39"/>
        <v>8.9090909090909083</v>
      </c>
      <c r="L210" s="11">
        <f t="shared" si="40"/>
        <v>3.2727272727272729</v>
      </c>
      <c r="M210" s="12">
        <f t="shared" si="41"/>
        <v>0.36734693877551022</v>
      </c>
      <c r="N210" s="11">
        <f t="shared" si="42"/>
        <v>2.1818181818181817</v>
      </c>
      <c r="O210" s="12">
        <f t="shared" si="43"/>
        <v>0.66666666666666663</v>
      </c>
      <c r="P210" s="12">
        <f t="shared" si="44"/>
        <v>0.24489795918367346</v>
      </c>
      <c r="Q210" s="13">
        <f t="shared" si="46"/>
        <v>3.2727272727272725</v>
      </c>
      <c r="R210" s="13">
        <f t="shared" si="47"/>
        <v>2.1818181818181817</v>
      </c>
    </row>
    <row r="211" spans="1:18" ht="15.75" customHeight="1" x14ac:dyDescent="0.3">
      <c r="A211" s="7" t="s">
        <v>140</v>
      </c>
      <c r="B211" s="7" t="s">
        <v>38</v>
      </c>
      <c r="C211" s="24" t="s">
        <v>34</v>
      </c>
      <c r="D211" s="24" t="s">
        <v>39</v>
      </c>
      <c r="E211" s="8">
        <v>46071</v>
      </c>
      <c r="F211" s="8">
        <v>46081</v>
      </c>
      <c r="G211" s="9">
        <f t="shared" si="45"/>
        <v>11</v>
      </c>
      <c r="H211" s="10">
        <v>377</v>
      </c>
      <c r="I211" s="10">
        <v>49</v>
      </c>
      <c r="J211" s="10">
        <v>35</v>
      </c>
      <c r="K211" s="11">
        <f t="shared" si="39"/>
        <v>34.272727272727273</v>
      </c>
      <c r="L211" s="11">
        <f t="shared" si="40"/>
        <v>4.4545454545454541</v>
      </c>
      <c r="M211" s="12">
        <f t="shared" si="41"/>
        <v>0.129973474801061</v>
      </c>
      <c r="N211" s="11">
        <f t="shared" si="42"/>
        <v>3.1818181818181817</v>
      </c>
      <c r="O211" s="12">
        <f t="shared" si="43"/>
        <v>0.7142857142857143</v>
      </c>
      <c r="P211" s="12">
        <f t="shared" si="44"/>
        <v>9.2838196286472149E-2</v>
      </c>
      <c r="Q211" s="13">
        <f t="shared" si="46"/>
        <v>4.4545454545454541</v>
      </c>
      <c r="R211" s="13">
        <f t="shared" si="47"/>
        <v>3.1818181818181821</v>
      </c>
    </row>
    <row r="212" spans="1:18" ht="15.75" customHeight="1" x14ac:dyDescent="0.3">
      <c r="A212" s="7" t="s">
        <v>140</v>
      </c>
      <c r="B212" s="7" t="s">
        <v>40</v>
      </c>
      <c r="C212" s="24" t="s">
        <v>34</v>
      </c>
      <c r="D212" s="24" t="s">
        <v>39</v>
      </c>
      <c r="E212" s="8">
        <v>46071</v>
      </c>
      <c r="F212" s="8">
        <v>46081</v>
      </c>
      <c r="G212" s="9">
        <f t="shared" si="45"/>
        <v>11</v>
      </c>
      <c r="H212" s="10">
        <v>7</v>
      </c>
      <c r="I212" s="10">
        <v>2</v>
      </c>
      <c r="J212" s="10">
        <v>2</v>
      </c>
      <c r="K212" s="11">
        <f t="shared" si="39"/>
        <v>0.63636363636363635</v>
      </c>
      <c r="L212" s="11">
        <f t="shared" si="40"/>
        <v>0.18181818181818182</v>
      </c>
      <c r="M212" s="12">
        <f t="shared" si="41"/>
        <v>0.2857142857142857</v>
      </c>
      <c r="N212" s="11">
        <f t="shared" si="42"/>
        <v>0.18181818181818182</v>
      </c>
      <c r="O212" s="12">
        <f t="shared" si="43"/>
        <v>1</v>
      </c>
      <c r="P212" s="12">
        <f t="shared" si="44"/>
        <v>0.2857142857142857</v>
      </c>
      <c r="Q212" s="13">
        <f t="shared" si="46"/>
        <v>0.1818181818181818</v>
      </c>
      <c r="R212" s="13">
        <f t="shared" si="47"/>
        <v>0.1818181818181818</v>
      </c>
    </row>
    <row r="213" spans="1:18" ht="15.75" customHeight="1" x14ac:dyDescent="0.3">
      <c r="A213" s="7" t="s">
        <v>140</v>
      </c>
      <c r="B213" s="7" t="s">
        <v>93</v>
      </c>
      <c r="C213" s="24" t="s">
        <v>47</v>
      </c>
      <c r="D213" s="24" t="s">
        <v>48</v>
      </c>
      <c r="E213" s="8">
        <v>46071</v>
      </c>
      <c r="F213" s="8">
        <v>46081</v>
      </c>
      <c r="G213" s="9">
        <f t="shared" si="45"/>
        <v>11</v>
      </c>
      <c r="H213" s="10">
        <v>387</v>
      </c>
      <c r="I213" s="10">
        <v>125</v>
      </c>
      <c r="J213" s="10">
        <v>88</v>
      </c>
      <c r="K213" s="11">
        <f t="shared" si="39"/>
        <v>35.18181818181818</v>
      </c>
      <c r="L213" s="11">
        <f t="shared" si="40"/>
        <v>11.363636363636363</v>
      </c>
      <c r="M213" s="12">
        <f t="shared" si="41"/>
        <v>0.32299741602067183</v>
      </c>
      <c r="N213" s="11">
        <f t="shared" si="42"/>
        <v>8</v>
      </c>
      <c r="O213" s="12">
        <f t="shared" si="43"/>
        <v>0.70399999999999996</v>
      </c>
      <c r="P213" s="12">
        <f t="shared" si="44"/>
        <v>0.22739018087855298</v>
      </c>
      <c r="Q213" s="13">
        <f t="shared" si="46"/>
        <v>11.363636363636363</v>
      </c>
      <c r="R213" s="13">
        <f t="shared" si="47"/>
        <v>8</v>
      </c>
    </row>
    <row r="214" spans="1:18" ht="15.75" customHeight="1" x14ac:dyDescent="0.3">
      <c r="A214" s="7" t="s">
        <v>140</v>
      </c>
      <c r="B214" s="7" t="s">
        <v>94</v>
      </c>
      <c r="C214" s="24" t="s">
        <v>47</v>
      </c>
      <c r="D214" s="24" t="s">
        <v>48</v>
      </c>
      <c r="E214" s="8">
        <v>46071</v>
      </c>
      <c r="F214" s="8">
        <v>46081</v>
      </c>
      <c r="G214" s="9">
        <f t="shared" si="45"/>
        <v>11</v>
      </c>
      <c r="H214" s="10">
        <v>1</v>
      </c>
      <c r="I214" s="10">
        <v>0</v>
      </c>
      <c r="J214" s="10">
        <v>0</v>
      </c>
      <c r="K214" s="11">
        <f t="shared" si="39"/>
        <v>9.0909090909090912E-2</v>
      </c>
      <c r="L214" s="11">
        <f t="shared" si="40"/>
        <v>0</v>
      </c>
      <c r="M214" s="12">
        <f t="shared" si="41"/>
        <v>0</v>
      </c>
      <c r="N214" s="11">
        <f t="shared" si="42"/>
        <v>0</v>
      </c>
      <c r="O214" s="12" t="str">
        <f t="shared" si="43"/>
        <v/>
      </c>
      <c r="P214" s="12">
        <f t="shared" si="44"/>
        <v>0</v>
      </c>
      <c r="Q214" s="13">
        <f t="shared" si="46"/>
        <v>0</v>
      </c>
      <c r="R214" s="13">
        <f t="shared" si="47"/>
        <v>0</v>
      </c>
    </row>
    <row r="215" spans="1:18" ht="15.75" customHeight="1" x14ac:dyDescent="0.3">
      <c r="A215" s="7" t="s">
        <v>140</v>
      </c>
      <c r="B215" s="7" t="s">
        <v>95</v>
      </c>
      <c r="C215" s="24" t="s">
        <v>47</v>
      </c>
      <c r="D215" s="24" t="s">
        <v>48</v>
      </c>
      <c r="E215" s="8">
        <v>46071</v>
      </c>
      <c r="F215" s="8">
        <v>46081</v>
      </c>
      <c r="G215" s="9">
        <f t="shared" si="45"/>
        <v>11</v>
      </c>
      <c r="H215" s="10">
        <v>429</v>
      </c>
      <c r="I215" s="10">
        <v>123</v>
      </c>
      <c r="J215" s="10">
        <v>97</v>
      </c>
      <c r="K215" s="11">
        <f t="shared" si="39"/>
        <v>39</v>
      </c>
      <c r="L215" s="11">
        <f t="shared" si="40"/>
        <v>11.181818181818182</v>
      </c>
      <c r="M215" s="12">
        <f t="shared" si="41"/>
        <v>0.28671328671328672</v>
      </c>
      <c r="N215" s="11">
        <f t="shared" si="42"/>
        <v>8.8181818181818183</v>
      </c>
      <c r="O215" s="12">
        <f t="shared" si="43"/>
        <v>0.78861788617886175</v>
      </c>
      <c r="P215" s="12">
        <f t="shared" si="44"/>
        <v>0.22610722610722611</v>
      </c>
      <c r="Q215" s="13">
        <f t="shared" si="46"/>
        <v>11.181818181818182</v>
      </c>
      <c r="R215" s="13">
        <f t="shared" si="47"/>
        <v>8.8181818181818183</v>
      </c>
    </row>
    <row r="216" spans="1:18" ht="15.75" customHeight="1" x14ac:dyDescent="0.3">
      <c r="A216" s="7" t="s">
        <v>140</v>
      </c>
      <c r="B216" s="7" t="s">
        <v>96</v>
      </c>
      <c r="C216" s="24" t="s">
        <v>47</v>
      </c>
      <c r="D216" s="24" t="s">
        <v>48</v>
      </c>
      <c r="E216" s="8">
        <v>46071</v>
      </c>
      <c r="F216" s="8">
        <v>46081</v>
      </c>
      <c r="G216" s="9">
        <f t="shared" si="45"/>
        <v>11</v>
      </c>
      <c r="H216" s="10">
        <v>9</v>
      </c>
      <c r="I216" s="10">
        <v>2</v>
      </c>
      <c r="J216" s="10">
        <v>2</v>
      </c>
      <c r="K216" s="11">
        <f t="shared" si="39"/>
        <v>0.81818181818181823</v>
      </c>
      <c r="L216" s="11">
        <f t="shared" si="40"/>
        <v>0.18181818181818182</v>
      </c>
      <c r="M216" s="12">
        <f t="shared" si="41"/>
        <v>0.22222222222222221</v>
      </c>
      <c r="N216" s="11">
        <f t="shared" si="42"/>
        <v>0.18181818181818182</v>
      </c>
      <c r="O216" s="12">
        <f t="shared" si="43"/>
        <v>1</v>
      </c>
      <c r="P216" s="12">
        <f t="shared" si="44"/>
        <v>0.22222222222222221</v>
      </c>
      <c r="Q216" s="13">
        <f t="shared" si="46"/>
        <v>0.18181818181818182</v>
      </c>
      <c r="R216" s="13">
        <f t="shared" si="47"/>
        <v>0.18181818181818182</v>
      </c>
    </row>
    <row r="217" spans="1:18" ht="15.75" customHeight="1" x14ac:dyDescent="0.3">
      <c r="A217" s="7" t="s">
        <v>140</v>
      </c>
      <c r="B217" s="7" t="s">
        <v>98</v>
      </c>
      <c r="C217" s="24" t="s">
        <v>47</v>
      </c>
      <c r="D217" s="24" t="s">
        <v>53</v>
      </c>
      <c r="E217" s="8">
        <v>46071</v>
      </c>
      <c r="F217" s="8">
        <v>46081</v>
      </c>
      <c r="G217" s="9">
        <f t="shared" si="45"/>
        <v>11</v>
      </c>
      <c r="H217" s="10">
        <v>73</v>
      </c>
      <c r="I217" s="10">
        <v>22</v>
      </c>
      <c r="J217" s="10">
        <v>19</v>
      </c>
      <c r="K217" s="11">
        <f t="shared" si="39"/>
        <v>6.6363636363636367</v>
      </c>
      <c r="L217" s="11">
        <f t="shared" si="40"/>
        <v>2</v>
      </c>
      <c r="M217" s="12">
        <f t="shared" si="41"/>
        <v>0.30136986301369861</v>
      </c>
      <c r="N217" s="11">
        <f t="shared" si="42"/>
        <v>1.7272727272727273</v>
      </c>
      <c r="O217" s="12">
        <f t="shared" si="43"/>
        <v>0.86363636363636365</v>
      </c>
      <c r="P217" s="12">
        <f t="shared" si="44"/>
        <v>0.26027397260273971</v>
      </c>
      <c r="Q217" s="13">
        <f t="shared" si="46"/>
        <v>2</v>
      </c>
      <c r="R217" s="13">
        <f t="shared" si="47"/>
        <v>1.7272727272727273</v>
      </c>
    </row>
    <row r="218" spans="1:18" ht="15.75" customHeight="1" x14ac:dyDescent="0.3">
      <c r="A218" s="7" t="s">
        <v>140</v>
      </c>
      <c r="B218" s="7" t="s">
        <v>99</v>
      </c>
      <c r="C218" s="24" t="s">
        <v>47</v>
      </c>
      <c r="D218" s="24" t="s">
        <v>56</v>
      </c>
      <c r="E218" s="8">
        <v>46071</v>
      </c>
      <c r="F218" s="8">
        <v>46081</v>
      </c>
      <c r="G218" s="9">
        <f t="shared" si="45"/>
        <v>11</v>
      </c>
      <c r="H218" s="10">
        <v>293</v>
      </c>
      <c r="I218" s="10">
        <v>116</v>
      </c>
      <c r="J218" s="10">
        <v>96</v>
      </c>
      <c r="K218" s="11">
        <f t="shared" si="39"/>
        <v>26.636363636363637</v>
      </c>
      <c r="L218" s="11">
        <f t="shared" si="40"/>
        <v>10.545454545454545</v>
      </c>
      <c r="M218" s="12">
        <f t="shared" si="41"/>
        <v>0.39590443686006827</v>
      </c>
      <c r="N218" s="11">
        <f t="shared" si="42"/>
        <v>8.7272727272727266</v>
      </c>
      <c r="O218" s="12">
        <f t="shared" si="43"/>
        <v>0.82758620689655171</v>
      </c>
      <c r="P218" s="12">
        <f t="shared" si="44"/>
        <v>0.32764505119453924</v>
      </c>
      <c r="Q218" s="13">
        <f t="shared" si="46"/>
        <v>10.545454545454545</v>
      </c>
      <c r="R218" s="13">
        <f t="shared" si="47"/>
        <v>8.7272727272727266</v>
      </c>
    </row>
    <row r="219" spans="1:18" ht="15.75" customHeight="1" x14ac:dyDescent="0.3">
      <c r="A219" s="7" t="s">
        <v>140</v>
      </c>
      <c r="B219" s="7" t="s">
        <v>100</v>
      </c>
      <c r="C219" s="24" t="s">
        <v>47</v>
      </c>
      <c r="D219" s="24" t="s">
        <v>56</v>
      </c>
      <c r="E219" s="8">
        <v>46071</v>
      </c>
      <c r="F219" s="8">
        <v>46081</v>
      </c>
      <c r="G219" s="9">
        <f t="shared" si="45"/>
        <v>11</v>
      </c>
      <c r="H219" s="10">
        <v>2</v>
      </c>
      <c r="I219" s="10">
        <v>1</v>
      </c>
      <c r="J219" s="10">
        <v>1</v>
      </c>
      <c r="K219" s="11">
        <f t="shared" si="39"/>
        <v>0.18181818181818182</v>
      </c>
      <c r="L219" s="11">
        <f t="shared" si="40"/>
        <v>9.0909090909090912E-2</v>
      </c>
      <c r="M219" s="12">
        <f t="shared" si="41"/>
        <v>0.5</v>
      </c>
      <c r="N219" s="11">
        <f t="shared" si="42"/>
        <v>9.0909090909090912E-2</v>
      </c>
      <c r="O219" s="12">
        <f t="shared" si="43"/>
        <v>1</v>
      </c>
      <c r="P219" s="12">
        <f t="shared" si="44"/>
        <v>0.5</v>
      </c>
      <c r="Q219" s="13">
        <f t="shared" si="46"/>
        <v>9.0909090909090912E-2</v>
      </c>
      <c r="R219" s="13">
        <f t="shared" si="47"/>
        <v>9.0909090909090912E-2</v>
      </c>
    </row>
    <row r="220" spans="1:18" ht="15.75" customHeight="1" x14ac:dyDescent="0.3">
      <c r="A220" s="7" t="s">
        <v>140</v>
      </c>
      <c r="B220" s="7" t="s">
        <v>101</v>
      </c>
      <c r="C220" s="24" t="s">
        <v>58</v>
      </c>
      <c r="D220" s="24" t="s">
        <v>442</v>
      </c>
      <c r="E220" s="8">
        <v>46071</v>
      </c>
      <c r="F220" s="8">
        <v>46081</v>
      </c>
      <c r="G220" s="9">
        <f t="shared" si="45"/>
        <v>11</v>
      </c>
      <c r="H220" s="10">
        <v>90</v>
      </c>
      <c r="I220" s="10">
        <v>29</v>
      </c>
      <c r="J220" s="10">
        <v>24</v>
      </c>
      <c r="K220" s="11">
        <f t="shared" si="39"/>
        <v>8.1818181818181817</v>
      </c>
      <c r="L220" s="11">
        <f t="shared" si="40"/>
        <v>2.6363636363636362</v>
      </c>
      <c r="M220" s="12">
        <f t="shared" si="41"/>
        <v>0.32222222222222224</v>
      </c>
      <c r="N220" s="11">
        <f t="shared" si="42"/>
        <v>2.1818181818181817</v>
      </c>
      <c r="O220" s="12">
        <f t="shared" si="43"/>
        <v>0.82758620689655171</v>
      </c>
      <c r="P220" s="12">
        <f t="shared" si="44"/>
        <v>0.26666666666666666</v>
      </c>
      <c r="Q220" s="13">
        <f t="shared" si="46"/>
        <v>2.6363636363636367</v>
      </c>
      <c r="R220" s="13">
        <f t="shared" si="47"/>
        <v>2.1818181818181817</v>
      </c>
    </row>
    <row r="221" spans="1:18" ht="15.75" customHeight="1" x14ac:dyDescent="0.3">
      <c r="A221" s="7" t="s">
        <v>140</v>
      </c>
      <c r="B221" s="7" t="s">
        <v>102</v>
      </c>
      <c r="C221" s="24" t="s">
        <v>58</v>
      </c>
      <c r="D221" s="24" t="s">
        <v>103</v>
      </c>
      <c r="E221" s="8">
        <v>46071</v>
      </c>
      <c r="F221" s="8">
        <v>46081</v>
      </c>
      <c r="G221" s="9">
        <f t="shared" si="45"/>
        <v>11</v>
      </c>
      <c r="H221" s="10">
        <v>205</v>
      </c>
      <c r="I221" s="10">
        <v>59</v>
      </c>
      <c r="J221" s="10">
        <v>37</v>
      </c>
      <c r="K221" s="11">
        <f t="shared" si="39"/>
        <v>18.636363636363637</v>
      </c>
      <c r="L221" s="11">
        <f t="shared" si="40"/>
        <v>5.3636363636363633</v>
      </c>
      <c r="M221" s="12">
        <f t="shared" si="41"/>
        <v>0.28780487804878047</v>
      </c>
      <c r="N221" s="11">
        <f t="shared" si="42"/>
        <v>3.3636363636363638</v>
      </c>
      <c r="O221" s="12">
        <f t="shared" si="43"/>
        <v>0.6271186440677966</v>
      </c>
      <c r="P221" s="12">
        <f t="shared" si="44"/>
        <v>0.18048780487804877</v>
      </c>
      <c r="Q221" s="13">
        <f t="shared" si="46"/>
        <v>5.3636363636363633</v>
      </c>
      <c r="R221" s="13">
        <f t="shared" si="47"/>
        <v>3.3636363636363638</v>
      </c>
    </row>
    <row r="222" spans="1:18" ht="15.75" customHeight="1" x14ac:dyDescent="0.3">
      <c r="A222" s="7" t="s">
        <v>140</v>
      </c>
      <c r="B222" s="7" t="s">
        <v>106</v>
      </c>
      <c r="C222" s="24" t="s">
        <v>58</v>
      </c>
      <c r="D222" s="24" t="s">
        <v>107</v>
      </c>
      <c r="E222" s="8">
        <v>46071</v>
      </c>
      <c r="F222" s="8">
        <v>46081</v>
      </c>
      <c r="G222" s="9">
        <f t="shared" si="45"/>
        <v>11</v>
      </c>
      <c r="H222" s="10">
        <v>11</v>
      </c>
      <c r="I222" s="10">
        <v>7</v>
      </c>
      <c r="J222" s="10">
        <v>5</v>
      </c>
      <c r="K222" s="11">
        <f t="shared" si="39"/>
        <v>1</v>
      </c>
      <c r="L222" s="11">
        <f t="shared" si="40"/>
        <v>0.63636363636363635</v>
      </c>
      <c r="M222" s="12">
        <f t="shared" si="41"/>
        <v>0.63636363636363635</v>
      </c>
      <c r="N222" s="11">
        <f t="shared" si="42"/>
        <v>0.45454545454545453</v>
      </c>
      <c r="O222" s="12">
        <f t="shared" si="43"/>
        <v>0.7142857142857143</v>
      </c>
      <c r="P222" s="12">
        <f t="shared" si="44"/>
        <v>0.45454545454545453</v>
      </c>
      <c r="Q222" s="13">
        <f t="shared" si="46"/>
        <v>0.63636363636363635</v>
      </c>
      <c r="R222" s="13">
        <f t="shared" si="47"/>
        <v>0.45454545454545453</v>
      </c>
    </row>
    <row r="223" spans="1:18" ht="15.75" customHeight="1" x14ac:dyDescent="0.3">
      <c r="A223" s="7" t="s">
        <v>140</v>
      </c>
      <c r="B223" s="7" t="s">
        <v>87</v>
      </c>
      <c r="C223" s="24" t="s">
        <v>58</v>
      </c>
      <c r="D223" s="24" t="s">
        <v>64</v>
      </c>
      <c r="E223" s="8">
        <v>46071</v>
      </c>
      <c r="F223" s="8">
        <v>46081</v>
      </c>
      <c r="G223" s="9">
        <f t="shared" si="45"/>
        <v>11</v>
      </c>
      <c r="H223" s="10">
        <v>15</v>
      </c>
      <c r="I223" s="10">
        <v>9</v>
      </c>
      <c r="J223" s="10">
        <v>7</v>
      </c>
      <c r="K223" s="11">
        <f t="shared" si="39"/>
        <v>1.3636363636363635</v>
      </c>
      <c r="L223" s="11">
        <f t="shared" si="40"/>
        <v>0.81818181818181823</v>
      </c>
      <c r="M223" s="12">
        <f t="shared" si="41"/>
        <v>0.6</v>
      </c>
      <c r="N223" s="11">
        <f t="shared" si="42"/>
        <v>0.63636363636363635</v>
      </c>
      <c r="O223" s="12">
        <f t="shared" si="43"/>
        <v>0.77777777777777779</v>
      </c>
      <c r="P223" s="12">
        <f t="shared" si="44"/>
        <v>0.46666666666666667</v>
      </c>
      <c r="Q223" s="13">
        <f t="shared" si="46"/>
        <v>0.81818181818181812</v>
      </c>
      <c r="R223" s="13">
        <f t="shared" si="47"/>
        <v>0.63636363636363635</v>
      </c>
    </row>
    <row r="224" spans="1:18" ht="15.75" customHeight="1" x14ac:dyDescent="0.3">
      <c r="A224" s="7" t="s">
        <v>140</v>
      </c>
      <c r="B224" s="7" t="s">
        <v>435</v>
      </c>
      <c r="C224" s="24" t="s">
        <v>433</v>
      </c>
      <c r="D224" s="24" t="s">
        <v>433</v>
      </c>
      <c r="E224" s="8">
        <v>46071</v>
      </c>
      <c r="F224" s="8">
        <v>46081</v>
      </c>
      <c r="G224" s="9">
        <f t="shared" si="45"/>
        <v>11</v>
      </c>
      <c r="H224" s="10">
        <v>32</v>
      </c>
      <c r="I224" s="10">
        <v>13</v>
      </c>
      <c r="J224" s="10">
        <v>7</v>
      </c>
      <c r="K224" s="11">
        <f t="shared" si="39"/>
        <v>2.9090909090909092</v>
      </c>
      <c r="L224" s="11">
        <f t="shared" si="40"/>
        <v>1.1818181818181819</v>
      </c>
      <c r="M224" s="12">
        <f t="shared" si="41"/>
        <v>0.40625</v>
      </c>
      <c r="N224" s="11">
        <f t="shared" si="42"/>
        <v>0.63636363636363635</v>
      </c>
      <c r="O224" s="12">
        <f t="shared" si="43"/>
        <v>0.53846153846153844</v>
      </c>
      <c r="P224" s="12">
        <f t="shared" si="44"/>
        <v>0.21875</v>
      </c>
      <c r="Q224" s="13">
        <f t="shared" si="46"/>
        <v>1.1818181818181819</v>
      </c>
      <c r="R224" s="13">
        <f t="shared" si="47"/>
        <v>0.63636363636363635</v>
      </c>
    </row>
    <row r="225" spans="1:18" ht="15.75" customHeight="1" x14ac:dyDescent="0.3">
      <c r="A225" s="7" t="s">
        <v>140</v>
      </c>
      <c r="B225" s="7" t="s">
        <v>108</v>
      </c>
      <c r="C225" s="24" t="s">
        <v>58</v>
      </c>
      <c r="D225" s="24" t="s">
        <v>66</v>
      </c>
      <c r="E225" s="8">
        <v>46071</v>
      </c>
      <c r="F225" s="8">
        <v>46081</v>
      </c>
      <c r="G225" s="9">
        <f t="shared" si="45"/>
        <v>11</v>
      </c>
      <c r="H225" s="10">
        <v>460</v>
      </c>
      <c r="I225" s="10">
        <v>147</v>
      </c>
      <c r="J225" s="10">
        <v>78</v>
      </c>
      <c r="K225" s="11">
        <f t="shared" si="39"/>
        <v>41.81818181818182</v>
      </c>
      <c r="L225" s="11">
        <f t="shared" si="40"/>
        <v>13.363636363636363</v>
      </c>
      <c r="M225" s="12">
        <f t="shared" si="41"/>
        <v>0.31956521739130433</v>
      </c>
      <c r="N225" s="11">
        <f t="shared" si="42"/>
        <v>7.0909090909090908</v>
      </c>
      <c r="O225" s="12">
        <f t="shared" si="43"/>
        <v>0.53061224489795922</v>
      </c>
      <c r="P225" s="12">
        <f t="shared" si="44"/>
        <v>0.16956521739130434</v>
      </c>
      <c r="Q225" s="13">
        <f t="shared" si="46"/>
        <v>13.363636363636363</v>
      </c>
      <c r="R225" s="13">
        <f t="shared" si="47"/>
        <v>7.0909090909090908</v>
      </c>
    </row>
    <row r="226" spans="1:18" ht="15.75" customHeight="1" x14ac:dyDescent="0.3">
      <c r="A226" s="7" t="s">
        <v>140</v>
      </c>
      <c r="B226" s="7" t="s">
        <v>109</v>
      </c>
      <c r="C226" s="24" t="s">
        <v>58</v>
      </c>
      <c r="D226" s="24" t="s">
        <v>68</v>
      </c>
      <c r="E226" s="8">
        <v>46071</v>
      </c>
      <c r="F226" s="8">
        <v>46081</v>
      </c>
      <c r="G226" s="9">
        <f t="shared" si="45"/>
        <v>11</v>
      </c>
      <c r="H226" s="10">
        <v>36</v>
      </c>
      <c r="I226" s="10">
        <v>19</v>
      </c>
      <c r="J226" s="10">
        <v>12</v>
      </c>
      <c r="K226" s="11">
        <f t="shared" si="39"/>
        <v>3.2727272727272729</v>
      </c>
      <c r="L226" s="11">
        <f t="shared" si="40"/>
        <v>1.7272727272727273</v>
      </c>
      <c r="M226" s="12">
        <f t="shared" si="41"/>
        <v>0.52777777777777779</v>
      </c>
      <c r="N226" s="11">
        <f t="shared" si="42"/>
        <v>1.0909090909090908</v>
      </c>
      <c r="O226" s="12">
        <f t="shared" si="43"/>
        <v>0.63157894736842102</v>
      </c>
      <c r="P226" s="12">
        <f t="shared" si="44"/>
        <v>0.33333333333333331</v>
      </c>
      <c r="Q226" s="13">
        <f t="shared" si="46"/>
        <v>1.7272727272727275</v>
      </c>
      <c r="R226" s="13">
        <f t="shared" si="47"/>
        <v>1.0909090909090908</v>
      </c>
    </row>
    <row r="227" spans="1:18" ht="15.75" customHeight="1" x14ac:dyDescent="0.3">
      <c r="A227" s="7" t="s">
        <v>140</v>
      </c>
      <c r="B227" s="7" t="s">
        <v>110</v>
      </c>
      <c r="C227" s="24" t="s">
        <v>58</v>
      </c>
      <c r="D227" s="24" t="s">
        <v>66</v>
      </c>
      <c r="E227" s="8">
        <v>46071</v>
      </c>
      <c r="F227" s="8">
        <v>46081</v>
      </c>
      <c r="G227" s="9">
        <f t="shared" si="45"/>
        <v>11</v>
      </c>
      <c r="H227" s="10">
        <v>45</v>
      </c>
      <c r="I227" s="10">
        <v>15</v>
      </c>
      <c r="J227" s="10">
        <v>9</v>
      </c>
      <c r="K227" s="11">
        <f t="shared" si="39"/>
        <v>4.0909090909090908</v>
      </c>
      <c r="L227" s="11">
        <f t="shared" si="40"/>
        <v>1.3636363636363635</v>
      </c>
      <c r="M227" s="12">
        <f t="shared" si="41"/>
        <v>0.33333333333333331</v>
      </c>
      <c r="N227" s="11">
        <f t="shared" si="42"/>
        <v>0.81818181818181823</v>
      </c>
      <c r="O227" s="12">
        <f t="shared" si="43"/>
        <v>0.6</v>
      </c>
      <c r="P227" s="12">
        <f t="shared" si="44"/>
        <v>0.2</v>
      </c>
    </row>
    <row r="228" spans="1:18" ht="15.75" customHeight="1" x14ac:dyDescent="0.3">
      <c r="A228" s="7" t="s">
        <v>140</v>
      </c>
      <c r="B228" s="7" t="s">
        <v>111</v>
      </c>
      <c r="C228" s="24" t="s">
        <v>58</v>
      </c>
      <c r="D228" s="24" t="s">
        <v>68</v>
      </c>
      <c r="E228" s="8">
        <v>46071</v>
      </c>
      <c r="F228" s="8">
        <v>46081</v>
      </c>
      <c r="G228" s="9">
        <f t="shared" si="45"/>
        <v>11</v>
      </c>
      <c r="H228" s="10">
        <v>3</v>
      </c>
      <c r="I228" s="10">
        <v>2</v>
      </c>
      <c r="J228" s="10">
        <v>1</v>
      </c>
      <c r="K228" s="11">
        <f t="shared" si="39"/>
        <v>0.27272727272727271</v>
      </c>
      <c r="L228" s="11">
        <f t="shared" si="40"/>
        <v>0.18181818181818182</v>
      </c>
      <c r="M228" s="12">
        <f t="shared" si="41"/>
        <v>0.66666666666666663</v>
      </c>
      <c r="N228" s="11">
        <f t="shared" si="42"/>
        <v>9.0909090909090912E-2</v>
      </c>
      <c r="O228" s="12">
        <f t="shared" si="43"/>
        <v>0.5</v>
      </c>
      <c r="P228" s="12">
        <f t="shared" si="44"/>
        <v>0.33333333333333331</v>
      </c>
      <c r="Q228" s="13">
        <f t="shared" ref="Q228:Q245" si="48">IFERROR((I228/H228)*K228,"")</f>
        <v>0.1818181818181818</v>
      </c>
      <c r="R228" s="13">
        <f t="shared" ref="R228:R245" si="49">IFERROR((J228/H228)*K228,"")</f>
        <v>9.0909090909090898E-2</v>
      </c>
    </row>
    <row r="229" spans="1:18" ht="15.75" customHeight="1" x14ac:dyDescent="0.3">
      <c r="A229" s="7" t="s">
        <v>140</v>
      </c>
      <c r="B229" s="7" t="s">
        <v>112</v>
      </c>
      <c r="C229" s="24" t="s">
        <v>58</v>
      </c>
      <c r="D229" s="24" t="s">
        <v>66</v>
      </c>
      <c r="E229" s="8">
        <v>46071</v>
      </c>
      <c r="F229" s="8">
        <v>46081</v>
      </c>
      <c r="G229" s="9">
        <f t="shared" si="45"/>
        <v>11</v>
      </c>
      <c r="H229" s="10">
        <v>21</v>
      </c>
      <c r="I229" s="10">
        <v>7</v>
      </c>
      <c r="J229" s="10">
        <v>3</v>
      </c>
      <c r="K229" s="11">
        <f t="shared" si="39"/>
        <v>1.9090909090909092</v>
      </c>
      <c r="L229" s="11">
        <f t="shared" si="40"/>
        <v>0.63636363636363635</v>
      </c>
      <c r="M229" s="12">
        <f t="shared" si="41"/>
        <v>0.33333333333333331</v>
      </c>
      <c r="N229" s="11">
        <f t="shared" si="42"/>
        <v>0.27272727272727271</v>
      </c>
      <c r="O229" s="12">
        <f t="shared" si="43"/>
        <v>0.42857142857142855</v>
      </c>
      <c r="P229" s="12">
        <f t="shared" si="44"/>
        <v>0.14285714285714285</v>
      </c>
      <c r="Q229" s="13">
        <f t="shared" si="48"/>
        <v>0.63636363636363635</v>
      </c>
      <c r="R229" s="13">
        <f t="shared" si="49"/>
        <v>0.27272727272727271</v>
      </c>
    </row>
    <row r="230" spans="1:18" ht="15.75" customHeight="1" x14ac:dyDescent="0.3">
      <c r="A230" s="7" t="s">
        <v>140</v>
      </c>
      <c r="B230" s="7" t="s">
        <v>113</v>
      </c>
      <c r="C230" s="24" t="s">
        <v>58</v>
      </c>
      <c r="D230" s="24" t="s">
        <v>68</v>
      </c>
      <c r="E230" s="8">
        <v>46071</v>
      </c>
      <c r="F230" s="8">
        <v>46081</v>
      </c>
      <c r="G230" s="9">
        <f t="shared" si="45"/>
        <v>11</v>
      </c>
      <c r="H230" s="10">
        <v>10</v>
      </c>
      <c r="I230" s="10">
        <v>4</v>
      </c>
      <c r="J230" s="10">
        <v>3</v>
      </c>
      <c r="K230" s="11">
        <f t="shared" si="39"/>
        <v>0.90909090909090906</v>
      </c>
      <c r="L230" s="11">
        <f t="shared" si="40"/>
        <v>0.36363636363636365</v>
      </c>
      <c r="M230" s="12">
        <f t="shared" si="41"/>
        <v>0.4</v>
      </c>
      <c r="N230" s="11">
        <f t="shared" si="42"/>
        <v>0.27272727272727271</v>
      </c>
      <c r="O230" s="12">
        <f t="shared" si="43"/>
        <v>0.75</v>
      </c>
      <c r="P230" s="12">
        <f t="shared" si="44"/>
        <v>0.3</v>
      </c>
      <c r="Q230" s="13">
        <f t="shared" si="48"/>
        <v>0.36363636363636365</v>
      </c>
      <c r="R230" s="13">
        <f t="shared" si="49"/>
        <v>0.27272727272727271</v>
      </c>
    </row>
    <row r="231" spans="1:18" ht="15.75" customHeight="1" x14ac:dyDescent="0.3">
      <c r="A231" s="7" t="s">
        <v>140</v>
      </c>
      <c r="B231" s="7" t="s">
        <v>114</v>
      </c>
      <c r="C231" s="24" t="s">
        <v>58</v>
      </c>
      <c r="D231" s="24" t="s">
        <v>74</v>
      </c>
      <c r="E231" s="8">
        <v>46071</v>
      </c>
      <c r="F231" s="8">
        <v>46081</v>
      </c>
      <c r="G231" s="9">
        <f t="shared" si="45"/>
        <v>11</v>
      </c>
      <c r="H231" s="10">
        <v>77</v>
      </c>
      <c r="I231" s="10">
        <v>31</v>
      </c>
      <c r="J231" s="10">
        <v>27</v>
      </c>
      <c r="K231" s="11">
        <f t="shared" si="39"/>
        <v>7</v>
      </c>
      <c r="L231" s="11">
        <f t="shared" si="40"/>
        <v>2.8181818181818183</v>
      </c>
      <c r="M231" s="12">
        <f t="shared" si="41"/>
        <v>0.40259740259740262</v>
      </c>
      <c r="N231" s="11">
        <f t="shared" si="42"/>
        <v>2.4545454545454546</v>
      </c>
      <c r="O231" s="12">
        <f t="shared" si="43"/>
        <v>0.87096774193548387</v>
      </c>
      <c r="P231" s="12">
        <f t="shared" si="44"/>
        <v>0.35064935064935066</v>
      </c>
      <c r="Q231" s="13">
        <f t="shared" si="48"/>
        <v>2.8181818181818183</v>
      </c>
      <c r="R231" s="13">
        <f t="shared" si="49"/>
        <v>2.4545454545454546</v>
      </c>
    </row>
    <row r="232" spans="1:18" ht="15.75" customHeight="1" x14ac:dyDescent="0.3">
      <c r="A232" s="7" t="s">
        <v>140</v>
      </c>
      <c r="B232" s="7" t="s">
        <v>115</v>
      </c>
      <c r="C232" s="24" t="s">
        <v>58</v>
      </c>
      <c r="D232" s="24" t="s">
        <v>74</v>
      </c>
      <c r="E232" s="8">
        <v>46071</v>
      </c>
      <c r="F232" s="8">
        <v>46081</v>
      </c>
      <c r="G232" s="9">
        <f t="shared" si="45"/>
        <v>11</v>
      </c>
      <c r="H232" s="10">
        <v>363</v>
      </c>
      <c r="I232" s="10">
        <v>140</v>
      </c>
      <c r="J232" s="10">
        <v>89</v>
      </c>
      <c r="K232" s="11">
        <f t="shared" si="39"/>
        <v>33</v>
      </c>
      <c r="L232" s="11">
        <f t="shared" si="40"/>
        <v>12.727272727272727</v>
      </c>
      <c r="M232" s="12">
        <f t="shared" si="41"/>
        <v>0.38567493112947659</v>
      </c>
      <c r="N232" s="11">
        <f t="shared" si="42"/>
        <v>8.0909090909090917</v>
      </c>
      <c r="O232" s="12">
        <f t="shared" si="43"/>
        <v>0.63571428571428568</v>
      </c>
      <c r="P232" s="12">
        <f t="shared" si="44"/>
        <v>0.24517906336088155</v>
      </c>
      <c r="Q232" s="13">
        <f t="shared" si="48"/>
        <v>12.727272727272728</v>
      </c>
      <c r="R232" s="13">
        <f t="shared" si="49"/>
        <v>8.0909090909090917</v>
      </c>
    </row>
    <row r="233" spans="1:18" ht="15.75" customHeight="1" x14ac:dyDescent="0.3">
      <c r="A233" s="7" t="s">
        <v>140</v>
      </c>
      <c r="B233" s="7" t="s">
        <v>116</v>
      </c>
      <c r="C233" s="24" t="s">
        <v>58</v>
      </c>
      <c r="D233" s="24" t="s">
        <v>59</v>
      </c>
      <c r="E233" s="8">
        <v>46071</v>
      </c>
      <c r="F233" s="8">
        <v>46081</v>
      </c>
      <c r="G233" s="9">
        <f t="shared" si="45"/>
        <v>11</v>
      </c>
      <c r="H233" s="10">
        <v>1</v>
      </c>
      <c r="I233" s="10">
        <v>0</v>
      </c>
      <c r="J233" s="10">
        <v>0</v>
      </c>
      <c r="K233" s="11">
        <f t="shared" si="39"/>
        <v>9.0909090909090912E-2</v>
      </c>
      <c r="L233" s="11">
        <f t="shared" si="40"/>
        <v>0</v>
      </c>
      <c r="M233" s="12">
        <f t="shared" si="41"/>
        <v>0</v>
      </c>
      <c r="N233" s="11">
        <f t="shared" si="42"/>
        <v>0</v>
      </c>
      <c r="O233" s="12" t="str">
        <f t="shared" si="43"/>
        <v/>
      </c>
      <c r="P233" s="12">
        <f t="shared" si="44"/>
        <v>0</v>
      </c>
      <c r="Q233" s="13">
        <f t="shared" si="48"/>
        <v>0</v>
      </c>
      <c r="R233" s="13">
        <f t="shared" si="49"/>
        <v>0</v>
      </c>
    </row>
    <row r="234" spans="1:18" ht="15.75" customHeight="1" x14ac:dyDescent="0.3">
      <c r="A234" s="7" t="s">
        <v>169</v>
      </c>
      <c r="B234" s="7" t="s">
        <v>170</v>
      </c>
      <c r="C234" s="24" t="s">
        <v>34</v>
      </c>
      <c r="D234" s="24" t="s">
        <v>35</v>
      </c>
      <c r="E234" s="8">
        <v>46083</v>
      </c>
      <c r="F234" s="8">
        <v>46092</v>
      </c>
      <c r="G234" s="9">
        <f t="shared" si="45"/>
        <v>10</v>
      </c>
      <c r="H234" s="10">
        <v>1689</v>
      </c>
      <c r="I234" s="10">
        <v>673</v>
      </c>
      <c r="J234" s="10">
        <v>368</v>
      </c>
      <c r="K234" s="11">
        <f t="shared" si="39"/>
        <v>168.9</v>
      </c>
      <c r="L234" s="11">
        <f t="shared" si="40"/>
        <v>67.3</v>
      </c>
      <c r="M234" s="12">
        <f t="shared" si="41"/>
        <v>0.39846062759029011</v>
      </c>
      <c r="N234" s="11">
        <f t="shared" si="42"/>
        <v>36.799999999999997</v>
      </c>
      <c r="O234" s="12">
        <f t="shared" si="43"/>
        <v>0.54680534918276369</v>
      </c>
      <c r="P234" s="12">
        <f t="shared" si="44"/>
        <v>0.21788040260509178</v>
      </c>
      <c r="Q234" s="13">
        <f t="shared" si="48"/>
        <v>67.3</v>
      </c>
      <c r="R234" s="13">
        <f t="shared" si="49"/>
        <v>36.800000000000004</v>
      </c>
    </row>
    <row r="235" spans="1:18" ht="15.75" customHeight="1" x14ac:dyDescent="0.3">
      <c r="A235" s="7" t="s">
        <v>169</v>
      </c>
      <c r="B235" s="7" t="s">
        <v>33</v>
      </c>
      <c r="C235" s="24" t="s">
        <v>34</v>
      </c>
      <c r="D235" s="24" t="s">
        <v>35</v>
      </c>
      <c r="E235" s="8">
        <v>46083</v>
      </c>
      <c r="F235" s="8">
        <v>46092</v>
      </c>
      <c r="G235" s="9">
        <f t="shared" si="45"/>
        <v>10</v>
      </c>
      <c r="H235" s="10">
        <v>842</v>
      </c>
      <c r="I235" s="10">
        <v>279</v>
      </c>
      <c r="J235" s="10">
        <v>167</v>
      </c>
      <c r="K235" s="11">
        <f t="shared" si="39"/>
        <v>84.2</v>
      </c>
      <c r="L235" s="11">
        <f t="shared" si="40"/>
        <v>27.9</v>
      </c>
      <c r="M235" s="12">
        <f t="shared" si="41"/>
        <v>0.33135391923990498</v>
      </c>
      <c r="N235" s="11">
        <f t="shared" si="42"/>
        <v>16.7</v>
      </c>
      <c r="O235" s="12">
        <f t="shared" si="43"/>
        <v>0.59856630824372759</v>
      </c>
      <c r="P235" s="12">
        <f t="shared" si="44"/>
        <v>0.19833729216152018</v>
      </c>
      <c r="Q235" s="13">
        <f t="shared" si="48"/>
        <v>27.900000000000002</v>
      </c>
      <c r="R235" s="13">
        <f t="shared" si="49"/>
        <v>16.7</v>
      </c>
    </row>
    <row r="236" spans="1:18" ht="15.75" customHeight="1" x14ac:dyDescent="0.3">
      <c r="A236" s="7" t="s">
        <v>169</v>
      </c>
      <c r="B236" s="7" t="s">
        <v>36</v>
      </c>
      <c r="C236" s="24" t="s">
        <v>34</v>
      </c>
      <c r="D236" s="24" t="s">
        <v>35</v>
      </c>
      <c r="E236" s="8">
        <v>46083</v>
      </c>
      <c r="F236" s="8">
        <v>46092</v>
      </c>
      <c r="G236" s="9">
        <f t="shared" si="45"/>
        <v>10</v>
      </c>
      <c r="H236" s="10" t="s">
        <v>433</v>
      </c>
      <c r="I236" s="10" t="s">
        <v>433</v>
      </c>
      <c r="J236" s="10" t="s">
        <v>433</v>
      </c>
      <c r="K236" s="11" t="str">
        <f t="shared" si="39"/>
        <v/>
      </c>
      <c r="L236" s="11" t="str">
        <f t="shared" si="40"/>
        <v/>
      </c>
      <c r="M236" s="12" t="str">
        <f t="shared" si="41"/>
        <v/>
      </c>
      <c r="N236" s="11" t="str">
        <f t="shared" si="42"/>
        <v/>
      </c>
      <c r="O236" s="12" t="str">
        <f t="shared" si="43"/>
        <v/>
      </c>
      <c r="P236" s="12" t="str">
        <f t="shared" si="44"/>
        <v/>
      </c>
      <c r="Q236" s="13" t="str">
        <f t="shared" si="48"/>
        <v/>
      </c>
      <c r="R236" s="13" t="str">
        <f t="shared" si="49"/>
        <v/>
      </c>
    </row>
    <row r="237" spans="1:18" ht="15.75" customHeight="1" x14ac:dyDescent="0.3">
      <c r="A237" s="7" t="s">
        <v>169</v>
      </c>
      <c r="B237" s="7" t="s">
        <v>171</v>
      </c>
      <c r="C237" s="24" t="s">
        <v>34</v>
      </c>
      <c r="D237" s="24" t="s">
        <v>91</v>
      </c>
      <c r="E237" s="8">
        <v>46083</v>
      </c>
      <c r="F237" s="8">
        <v>46092</v>
      </c>
      <c r="G237" s="9">
        <f t="shared" si="45"/>
        <v>10</v>
      </c>
      <c r="H237" s="10">
        <v>195</v>
      </c>
      <c r="I237" s="10">
        <v>76</v>
      </c>
      <c r="J237" s="10">
        <v>50</v>
      </c>
      <c r="K237" s="11">
        <f t="shared" si="39"/>
        <v>19.5</v>
      </c>
      <c r="L237" s="11">
        <f t="shared" si="40"/>
        <v>7.6</v>
      </c>
      <c r="M237" s="12">
        <f t="shared" si="41"/>
        <v>0.38974358974358975</v>
      </c>
      <c r="N237" s="11">
        <f t="shared" si="42"/>
        <v>5</v>
      </c>
      <c r="O237" s="12">
        <f t="shared" si="43"/>
        <v>0.65789473684210531</v>
      </c>
      <c r="P237" s="12">
        <f t="shared" si="44"/>
        <v>0.25641025641025639</v>
      </c>
      <c r="Q237" s="13">
        <f t="shared" si="48"/>
        <v>7.6</v>
      </c>
      <c r="R237" s="13">
        <f t="shared" si="49"/>
        <v>5</v>
      </c>
    </row>
    <row r="238" spans="1:18" ht="15.75" customHeight="1" x14ac:dyDescent="0.3">
      <c r="A238" s="7" t="s">
        <v>169</v>
      </c>
      <c r="B238" s="7" t="s">
        <v>38</v>
      </c>
      <c r="C238" s="24" t="s">
        <v>34</v>
      </c>
      <c r="D238" s="24" t="s">
        <v>39</v>
      </c>
      <c r="E238" s="8">
        <v>46083</v>
      </c>
      <c r="F238" s="8">
        <v>46092</v>
      </c>
      <c r="G238" s="9">
        <f t="shared" si="45"/>
        <v>10</v>
      </c>
      <c r="H238" s="10">
        <v>709</v>
      </c>
      <c r="I238" s="10">
        <v>138</v>
      </c>
      <c r="J238" s="10">
        <v>102</v>
      </c>
      <c r="K238" s="11">
        <f t="shared" si="39"/>
        <v>70.900000000000006</v>
      </c>
      <c r="L238" s="11">
        <f t="shared" si="40"/>
        <v>13.8</v>
      </c>
      <c r="M238" s="12">
        <f t="shared" si="41"/>
        <v>0.19464033850493653</v>
      </c>
      <c r="N238" s="11">
        <f t="shared" si="42"/>
        <v>10.199999999999999</v>
      </c>
      <c r="O238" s="12">
        <f t="shared" si="43"/>
        <v>0.73913043478260865</v>
      </c>
      <c r="P238" s="12">
        <f t="shared" si="44"/>
        <v>0.14386459802538787</v>
      </c>
      <c r="Q238" s="13">
        <f t="shared" si="48"/>
        <v>13.8</v>
      </c>
      <c r="R238" s="13">
        <f t="shared" si="49"/>
        <v>10.200000000000001</v>
      </c>
    </row>
    <row r="239" spans="1:18" ht="15.75" customHeight="1" x14ac:dyDescent="0.3">
      <c r="A239" s="7" t="s">
        <v>169</v>
      </c>
      <c r="B239" s="7" t="s">
        <v>40</v>
      </c>
      <c r="C239" s="24" t="s">
        <v>34</v>
      </c>
      <c r="D239" s="24" t="s">
        <v>39</v>
      </c>
      <c r="E239" s="8">
        <v>46083</v>
      </c>
      <c r="F239" s="8">
        <v>46092</v>
      </c>
      <c r="G239" s="9">
        <f t="shared" si="45"/>
        <v>10</v>
      </c>
      <c r="H239" s="10">
        <v>16</v>
      </c>
      <c r="I239" s="10">
        <v>1</v>
      </c>
      <c r="J239" s="10">
        <v>1</v>
      </c>
      <c r="K239" s="11">
        <f t="shared" si="39"/>
        <v>1.6</v>
      </c>
      <c r="L239" s="11">
        <f t="shared" si="40"/>
        <v>0.1</v>
      </c>
      <c r="M239" s="12">
        <f t="shared" si="41"/>
        <v>6.25E-2</v>
      </c>
      <c r="N239" s="11">
        <f t="shared" si="42"/>
        <v>0.1</v>
      </c>
      <c r="O239" s="12">
        <f t="shared" si="43"/>
        <v>1</v>
      </c>
      <c r="P239" s="12">
        <f t="shared" si="44"/>
        <v>6.25E-2</v>
      </c>
      <c r="Q239" s="13">
        <f t="shared" si="48"/>
        <v>0.1</v>
      </c>
      <c r="R239" s="13">
        <f t="shared" si="49"/>
        <v>0.1</v>
      </c>
    </row>
    <row r="240" spans="1:18" ht="15.75" customHeight="1" x14ac:dyDescent="0.3">
      <c r="A240" s="7" t="s">
        <v>169</v>
      </c>
      <c r="B240" s="7" t="s">
        <v>172</v>
      </c>
      <c r="C240" s="24" t="s">
        <v>47</v>
      </c>
      <c r="D240" s="24" t="s">
        <v>48</v>
      </c>
      <c r="E240" s="8">
        <v>46083</v>
      </c>
      <c r="F240" s="8">
        <v>46092</v>
      </c>
      <c r="G240" s="9">
        <f t="shared" si="45"/>
        <v>10</v>
      </c>
      <c r="H240" s="10">
        <v>752</v>
      </c>
      <c r="I240" s="10">
        <v>283</v>
      </c>
      <c r="J240" s="10">
        <v>192</v>
      </c>
      <c r="K240" s="11">
        <f t="shared" si="39"/>
        <v>75.2</v>
      </c>
      <c r="L240" s="11">
        <f t="shared" si="40"/>
        <v>28.3</v>
      </c>
      <c r="M240" s="12">
        <f t="shared" si="41"/>
        <v>0.37632978723404253</v>
      </c>
      <c r="N240" s="11">
        <f t="shared" si="42"/>
        <v>19.2</v>
      </c>
      <c r="O240" s="12">
        <f t="shared" si="43"/>
        <v>0.67844522968197885</v>
      </c>
      <c r="P240" s="12">
        <f t="shared" si="44"/>
        <v>0.25531914893617019</v>
      </c>
      <c r="Q240" s="13">
        <f t="shared" si="48"/>
        <v>28.3</v>
      </c>
      <c r="R240" s="13">
        <f t="shared" si="49"/>
        <v>19.2</v>
      </c>
    </row>
    <row r="241" spans="1:18" ht="15.75" customHeight="1" x14ac:dyDescent="0.3">
      <c r="A241" s="7" t="s">
        <v>169</v>
      </c>
      <c r="B241" s="7" t="s">
        <v>173</v>
      </c>
      <c r="C241" s="24" t="s">
        <v>47</v>
      </c>
      <c r="D241" s="24" t="s">
        <v>48</v>
      </c>
      <c r="E241" s="8">
        <v>46083</v>
      </c>
      <c r="F241" s="8">
        <v>46092</v>
      </c>
      <c r="G241" s="9">
        <f t="shared" si="45"/>
        <v>10</v>
      </c>
      <c r="H241" s="10">
        <v>496</v>
      </c>
      <c r="I241" s="10">
        <v>220</v>
      </c>
      <c r="J241" s="10">
        <v>141</v>
      </c>
      <c r="K241" s="11">
        <f t="shared" si="39"/>
        <v>49.6</v>
      </c>
      <c r="L241" s="11">
        <f t="shared" si="40"/>
        <v>22</v>
      </c>
      <c r="M241" s="12">
        <f t="shared" si="41"/>
        <v>0.44354838709677419</v>
      </c>
      <c r="N241" s="11">
        <f t="shared" si="42"/>
        <v>14.1</v>
      </c>
      <c r="O241" s="12">
        <f t="shared" si="43"/>
        <v>0.64090909090909087</v>
      </c>
      <c r="P241" s="12">
        <f t="shared" si="44"/>
        <v>0.28427419354838712</v>
      </c>
      <c r="Q241" s="13">
        <f t="shared" si="48"/>
        <v>22</v>
      </c>
      <c r="R241" s="13">
        <f t="shared" si="49"/>
        <v>14.100000000000001</v>
      </c>
    </row>
    <row r="242" spans="1:18" ht="15.75" customHeight="1" x14ac:dyDescent="0.3">
      <c r="A242" s="7" t="s">
        <v>169</v>
      </c>
      <c r="B242" s="7" t="s">
        <v>174</v>
      </c>
      <c r="C242" s="24" t="s">
        <v>47</v>
      </c>
      <c r="D242" s="24" t="s">
        <v>48</v>
      </c>
      <c r="E242" s="8">
        <v>46083</v>
      </c>
      <c r="F242" s="8">
        <v>46092</v>
      </c>
      <c r="G242" s="9">
        <f t="shared" si="45"/>
        <v>10</v>
      </c>
      <c r="H242" s="10">
        <v>912</v>
      </c>
      <c r="I242" s="10">
        <v>364</v>
      </c>
      <c r="J242" s="10">
        <v>268</v>
      </c>
      <c r="K242" s="11">
        <f t="shared" si="39"/>
        <v>91.2</v>
      </c>
      <c r="L242" s="11">
        <f t="shared" si="40"/>
        <v>36.4</v>
      </c>
      <c r="M242" s="12">
        <f t="shared" si="41"/>
        <v>0.39912280701754388</v>
      </c>
      <c r="N242" s="11">
        <f t="shared" si="42"/>
        <v>26.8</v>
      </c>
      <c r="O242" s="12">
        <f t="shared" si="43"/>
        <v>0.73626373626373631</v>
      </c>
      <c r="P242" s="12">
        <f t="shared" si="44"/>
        <v>0.29385964912280704</v>
      </c>
      <c r="Q242" s="13">
        <f t="shared" si="48"/>
        <v>36.400000000000006</v>
      </c>
      <c r="R242" s="13">
        <f t="shared" si="49"/>
        <v>26.800000000000004</v>
      </c>
    </row>
    <row r="243" spans="1:18" ht="15.75" customHeight="1" x14ac:dyDescent="0.3">
      <c r="A243" s="7" t="s">
        <v>169</v>
      </c>
      <c r="B243" s="7" t="s">
        <v>175</v>
      </c>
      <c r="C243" s="24" t="s">
        <v>47</v>
      </c>
      <c r="D243" s="24" t="s">
        <v>48</v>
      </c>
      <c r="E243" s="8">
        <v>46083</v>
      </c>
      <c r="F243" s="8">
        <v>46092</v>
      </c>
      <c r="G243" s="9">
        <f t="shared" si="45"/>
        <v>10</v>
      </c>
      <c r="H243" s="10">
        <v>377</v>
      </c>
      <c r="I243" s="10">
        <v>169</v>
      </c>
      <c r="J243" s="10">
        <v>141</v>
      </c>
      <c r="K243" s="11">
        <f t="shared" si="39"/>
        <v>37.700000000000003</v>
      </c>
      <c r="L243" s="11">
        <f t="shared" si="40"/>
        <v>16.899999999999999</v>
      </c>
      <c r="M243" s="12">
        <f t="shared" si="41"/>
        <v>0.44827586206896552</v>
      </c>
      <c r="N243" s="11">
        <f t="shared" si="42"/>
        <v>14.1</v>
      </c>
      <c r="O243" s="12">
        <f t="shared" si="43"/>
        <v>0.83431952662721898</v>
      </c>
      <c r="P243" s="12">
        <f t="shared" si="44"/>
        <v>0.37400530503978779</v>
      </c>
      <c r="Q243" s="13">
        <f t="shared" si="48"/>
        <v>16.900000000000002</v>
      </c>
      <c r="R243" s="13">
        <f t="shared" si="49"/>
        <v>14.100000000000001</v>
      </c>
    </row>
    <row r="244" spans="1:18" ht="15.75" customHeight="1" x14ac:dyDescent="0.3">
      <c r="A244" s="7" t="s">
        <v>169</v>
      </c>
      <c r="B244" s="7" t="s">
        <v>176</v>
      </c>
      <c r="C244" s="24" t="s">
        <v>58</v>
      </c>
      <c r="D244" s="24" t="s">
        <v>61</v>
      </c>
      <c r="E244" s="8">
        <v>46083</v>
      </c>
      <c r="F244" s="8">
        <v>46092</v>
      </c>
      <c r="G244" s="9">
        <f t="shared" si="45"/>
        <v>10</v>
      </c>
      <c r="H244" s="10">
        <v>1815</v>
      </c>
      <c r="I244" s="10">
        <v>708</v>
      </c>
      <c r="J244" s="10">
        <v>491</v>
      </c>
      <c r="K244" s="11">
        <f t="shared" si="39"/>
        <v>181.5</v>
      </c>
      <c r="L244" s="11">
        <f t="shared" si="40"/>
        <v>70.8</v>
      </c>
      <c r="M244" s="12">
        <f t="shared" si="41"/>
        <v>0.39008264462809916</v>
      </c>
      <c r="N244" s="11">
        <f t="shared" si="42"/>
        <v>49.1</v>
      </c>
      <c r="O244" s="12">
        <f t="shared" si="43"/>
        <v>0.69350282485875703</v>
      </c>
      <c r="P244" s="12">
        <f t="shared" si="44"/>
        <v>0.27052341597796142</v>
      </c>
      <c r="Q244" s="13">
        <f t="shared" si="48"/>
        <v>70.8</v>
      </c>
      <c r="R244" s="13">
        <f t="shared" si="49"/>
        <v>49.1</v>
      </c>
    </row>
    <row r="245" spans="1:18" ht="15.75" customHeight="1" x14ac:dyDescent="0.3">
      <c r="A245" s="7" t="s">
        <v>169</v>
      </c>
      <c r="B245" s="7" t="s">
        <v>177</v>
      </c>
      <c r="C245" s="24" t="s">
        <v>58</v>
      </c>
      <c r="D245" s="24" t="s">
        <v>61</v>
      </c>
      <c r="E245" s="8">
        <v>46083</v>
      </c>
      <c r="F245" s="8">
        <v>46092</v>
      </c>
      <c r="G245" s="9">
        <f t="shared" si="45"/>
        <v>10</v>
      </c>
      <c r="H245" s="10">
        <v>1159</v>
      </c>
      <c r="I245" s="10">
        <v>2</v>
      </c>
      <c r="J245" s="10">
        <v>1</v>
      </c>
      <c r="K245" s="11">
        <f t="shared" si="39"/>
        <v>115.9</v>
      </c>
      <c r="L245" s="11">
        <f t="shared" si="40"/>
        <v>0.2</v>
      </c>
      <c r="M245" s="12">
        <f t="shared" si="41"/>
        <v>1.7256255392579811E-3</v>
      </c>
      <c r="N245" s="11">
        <f t="shared" si="42"/>
        <v>0.1</v>
      </c>
      <c r="O245" s="12">
        <f t="shared" si="43"/>
        <v>0.5</v>
      </c>
      <c r="P245" s="12">
        <f t="shared" si="44"/>
        <v>8.6281276962899055E-4</v>
      </c>
      <c r="Q245" s="13">
        <f t="shared" si="48"/>
        <v>0.2</v>
      </c>
      <c r="R245" s="13">
        <f t="shared" si="49"/>
        <v>0.1</v>
      </c>
    </row>
    <row r="246" spans="1:18" ht="15.75" customHeight="1" x14ac:dyDescent="0.3">
      <c r="A246" s="7" t="s">
        <v>169</v>
      </c>
      <c r="B246" s="7" t="s">
        <v>178</v>
      </c>
      <c r="C246" s="24" t="s">
        <v>58</v>
      </c>
      <c r="D246" s="24" t="s">
        <v>442</v>
      </c>
      <c r="E246" s="8">
        <v>46083</v>
      </c>
      <c r="F246" s="8">
        <v>46092</v>
      </c>
      <c r="G246" s="9">
        <f t="shared" si="45"/>
        <v>10</v>
      </c>
      <c r="H246" s="10">
        <v>532</v>
      </c>
      <c r="I246" s="10">
        <v>157</v>
      </c>
      <c r="J246" s="10">
        <v>101</v>
      </c>
      <c r="K246" s="11">
        <f t="shared" si="39"/>
        <v>53.2</v>
      </c>
      <c r="L246" s="11">
        <f t="shared" si="40"/>
        <v>15.7</v>
      </c>
      <c r="M246" s="12">
        <f t="shared" si="41"/>
        <v>0.29511278195488722</v>
      </c>
      <c r="N246" s="11">
        <f t="shared" si="42"/>
        <v>10.1</v>
      </c>
      <c r="O246" s="12">
        <f t="shared" si="43"/>
        <v>0.64331210191082799</v>
      </c>
      <c r="P246" s="12">
        <f t="shared" si="44"/>
        <v>0.18984962406015038</v>
      </c>
    </row>
    <row r="247" spans="1:18" ht="15.75" customHeight="1" x14ac:dyDescent="0.3">
      <c r="A247" s="7" t="s">
        <v>169</v>
      </c>
      <c r="B247" s="7" t="s">
        <v>179</v>
      </c>
      <c r="C247" s="24" t="s">
        <v>58</v>
      </c>
      <c r="D247" s="24" t="s">
        <v>107</v>
      </c>
      <c r="E247" s="8">
        <v>46083</v>
      </c>
      <c r="F247" s="8">
        <v>46092</v>
      </c>
      <c r="G247" s="9">
        <f t="shared" si="45"/>
        <v>10</v>
      </c>
      <c r="H247" s="10">
        <v>35</v>
      </c>
      <c r="I247" s="10">
        <v>14</v>
      </c>
      <c r="J247" s="10">
        <v>11</v>
      </c>
      <c r="K247" s="11">
        <f t="shared" si="39"/>
        <v>3.5</v>
      </c>
      <c r="L247" s="11">
        <f t="shared" si="40"/>
        <v>1.4</v>
      </c>
      <c r="M247" s="12">
        <f t="shared" si="41"/>
        <v>0.4</v>
      </c>
      <c r="N247" s="11">
        <f t="shared" si="42"/>
        <v>1.1000000000000001</v>
      </c>
      <c r="O247" s="12">
        <f t="shared" si="43"/>
        <v>0.7857142857142857</v>
      </c>
      <c r="P247" s="12">
        <f t="shared" si="44"/>
        <v>0.31428571428571428</v>
      </c>
      <c r="Q247" s="13">
        <f t="shared" ref="Q247:Q252" si="50">IFERROR((I247/H247)*K247,"")</f>
        <v>1.4000000000000001</v>
      </c>
      <c r="R247" s="13">
        <f t="shared" ref="R247:R252" si="51">IFERROR((J247/H247)*K247,"")</f>
        <v>1.1000000000000001</v>
      </c>
    </row>
    <row r="248" spans="1:18" ht="15.75" customHeight="1" x14ac:dyDescent="0.3">
      <c r="A248" s="7" t="s">
        <v>169</v>
      </c>
      <c r="B248" s="7" t="s">
        <v>84</v>
      </c>
      <c r="C248" s="24" t="s">
        <v>58</v>
      </c>
      <c r="D248" s="24" t="s">
        <v>64</v>
      </c>
      <c r="E248" s="8">
        <v>46083</v>
      </c>
      <c r="F248" s="8">
        <v>46092</v>
      </c>
      <c r="G248" s="9">
        <f t="shared" si="45"/>
        <v>10</v>
      </c>
      <c r="H248" s="10">
        <v>75</v>
      </c>
      <c r="I248" s="10">
        <v>22</v>
      </c>
      <c r="J248" s="10">
        <v>16</v>
      </c>
      <c r="K248" s="11">
        <f t="shared" si="39"/>
        <v>7.5</v>
      </c>
      <c r="L248" s="11">
        <f t="shared" si="40"/>
        <v>2.2000000000000002</v>
      </c>
      <c r="M248" s="12">
        <f t="shared" si="41"/>
        <v>0.29333333333333333</v>
      </c>
      <c r="N248" s="11">
        <f t="shared" si="42"/>
        <v>1.6</v>
      </c>
      <c r="O248" s="12">
        <f t="shared" si="43"/>
        <v>0.72727272727272729</v>
      </c>
      <c r="P248" s="12">
        <f t="shared" si="44"/>
        <v>0.21333333333333335</v>
      </c>
      <c r="Q248" s="13">
        <f t="shared" si="50"/>
        <v>2.2000000000000002</v>
      </c>
      <c r="R248" s="13">
        <f t="shared" si="51"/>
        <v>1.6</v>
      </c>
    </row>
    <row r="249" spans="1:18" ht="15.75" customHeight="1" x14ac:dyDescent="0.3">
      <c r="A249" s="7" t="s">
        <v>169</v>
      </c>
      <c r="B249" s="7" t="s">
        <v>85</v>
      </c>
      <c r="C249" s="24" t="s">
        <v>58</v>
      </c>
      <c r="D249" s="24" t="s">
        <v>64</v>
      </c>
      <c r="E249" s="8">
        <v>46083</v>
      </c>
      <c r="F249" s="8">
        <v>46092</v>
      </c>
      <c r="G249" s="9">
        <f t="shared" si="45"/>
        <v>10</v>
      </c>
      <c r="H249" s="10">
        <v>206</v>
      </c>
      <c r="I249" s="10">
        <v>79</v>
      </c>
      <c r="J249" s="10">
        <v>47</v>
      </c>
      <c r="K249" s="11">
        <f t="shared" si="39"/>
        <v>20.6</v>
      </c>
      <c r="L249" s="11">
        <f t="shared" si="40"/>
        <v>7.9</v>
      </c>
      <c r="M249" s="12">
        <f t="shared" si="41"/>
        <v>0.38349514563106796</v>
      </c>
      <c r="N249" s="11">
        <f t="shared" si="42"/>
        <v>4.7</v>
      </c>
      <c r="O249" s="12">
        <f t="shared" si="43"/>
        <v>0.59493670886075944</v>
      </c>
      <c r="P249" s="12">
        <f t="shared" si="44"/>
        <v>0.22815533980582525</v>
      </c>
      <c r="Q249" s="13">
        <f t="shared" si="50"/>
        <v>7.9</v>
      </c>
      <c r="R249" s="13">
        <f t="shared" si="51"/>
        <v>4.7</v>
      </c>
    </row>
    <row r="250" spans="1:18" ht="15.75" customHeight="1" x14ac:dyDescent="0.3">
      <c r="A250" s="7" t="s">
        <v>169</v>
      </c>
      <c r="B250" s="7" t="s">
        <v>440</v>
      </c>
      <c r="C250" s="24" t="s">
        <v>433</v>
      </c>
      <c r="D250" s="24" t="s">
        <v>433</v>
      </c>
      <c r="E250" s="8">
        <v>46083</v>
      </c>
      <c r="F250" s="8">
        <v>46092</v>
      </c>
      <c r="G250" s="9">
        <f t="shared" si="45"/>
        <v>10</v>
      </c>
      <c r="H250" s="10">
        <v>91</v>
      </c>
      <c r="I250" s="10">
        <v>47</v>
      </c>
      <c r="J250" s="10">
        <v>35</v>
      </c>
      <c r="K250" s="11">
        <f t="shared" si="39"/>
        <v>9.1</v>
      </c>
      <c r="L250" s="11">
        <f t="shared" si="40"/>
        <v>4.7</v>
      </c>
      <c r="M250" s="12">
        <f t="shared" si="41"/>
        <v>0.51648351648351654</v>
      </c>
      <c r="N250" s="11">
        <f t="shared" si="42"/>
        <v>3.5</v>
      </c>
      <c r="O250" s="12">
        <f t="shared" si="43"/>
        <v>0.74468085106382975</v>
      </c>
      <c r="P250" s="12">
        <f t="shared" si="44"/>
        <v>0.38461538461538464</v>
      </c>
      <c r="Q250" s="13">
        <f t="shared" si="50"/>
        <v>4.7</v>
      </c>
      <c r="R250" s="13">
        <f t="shared" si="51"/>
        <v>3.5</v>
      </c>
    </row>
    <row r="251" spans="1:18" ht="15.75" customHeight="1" x14ac:dyDescent="0.3">
      <c r="A251" s="7" t="s">
        <v>169</v>
      </c>
      <c r="B251" s="7" t="s">
        <v>108</v>
      </c>
      <c r="C251" s="24" t="s">
        <v>58</v>
      </c>
      <c r="D251" s="24" t="s">
        <v>66</v>
      </c>
      <c r="E251" s="8">
        <v>46083</v>
      </c>
      <c r="F251" s="8">
        <v>46092</v>
      </c>
      <c r="G251" s="9">
        <f t="shared" si="45"/>
        <v>10</v>
      </c>
      <c r="H251" s="10">
        <v>1627</v>
      </c>
      <c r="I251" s="10">
        <v>535</v>
      </c>
      <c r="J251" s="10">
        <v>319</v>
      </c>
      <c r="K251" s="11">
        <f t="shared" si="39"/>
        <v>162.69999999999999</v>
      </c>
      <c r="L251" s="11">
        <f t="shared" si="40"/>
        <v>53.5</v>
      </c>
      <c r="M251" s="12">
        <f t="shared" si="41"/>
        <v>0.3288260602335587</v>
      </c>
      <c r="N251" s="11">
        <f t="shared" si="42"/>
        <v>31.9</v>
      </c>
      <c r="O251" s="12">
        <f t="shared" si="43"/>
        <v>0.5962616822429907</v>
      </c>
      <c r="P251" s="12">
        <f t="shared" si="44"/>
        <v>0.19606637984019668</v>
      </c>
      <c r="Q251" s="13">
        <f t="shared" si="50"/>
        <v>53.5</v>
      </c>
      <c r="R251" s="13">
        <f t="shared" si="51"/>
        <v>31.9</v>
      </c>
    </row>
    <row r="252" spans="1:18" ht="15.75" customHeight="1" x14ac:dyDescent="0.3">
      <c r="A252" s="7" t="s">
        <v>169</v>
      </c>
      <c r="B252" s="7" t="s">
        <v>109</v>
      </c>
      <c r="C252" s="24" t="s">
        <v>58</v>
      </c>
      <c r="D252" s="24" t="s">
        <v>68</v>
      </c>
      <c r="E252" s="8">
        <v>46083</v>
      </c>
      <c r="F252" s="8">
        <v>46092</v>
      </c>
      <c r="G252" s="9">
        <f t="shared" si="45"/>
        <v>10</v>
      </c>
      <c r="H252" s="10">
        <v>146</v>
      </c>
      <c r="I252" s="10">
        <v>67</v>
      </c>
      <c r="J252" s="10">
        <v>42</v>
      </c>
      <c r="K252" s="11">
        <f t="shared" si="39"/>
        <v>14.6</v>
      </c>
      <c r="L252" s="11">
        <f t="shared" si="40"/>
        <v>6.7</v>
      </c>
      <c r="M252" s="12">
        <f t="shared" si="41"/>
        <v>0.4589041095890411</v>
      </c>
      <c r="N252" s="11">
        <f t="shared" si="42"/>
        <v>4.2</v>
      </c>
      <c r="O252" s="12">
        <f t="shared" si="43"/>
        <v>0.62686567164179108</v>
      </c>
      <c r="P252" s="12">
        <f t="shared" si="44"/>
        <v>0.28767123287671231</v>
      </c>
      <c r="Q252" s="13">
        <f t="shared" si="50"/>
        <v>6.7</v>
      </c>
      <c r="R252" s="13">
        <f t="shared" si="51"/>
        <v>4.1999999999999993</v>
      </c>
    </row>
    <row r="253" spans="1:18" ht="15.75" customHeight="1" x14ac:dyDescent="0.3">
      <c r="A253" s="7" t="s">
        <v>169</v>
      </c>
      <c r="B253" s="7" t="s">
        <v>114</v>
      </c>
      <c r="C253" s="24" t="s">
        <v>58</v>
      </c>
      <c r="D253" s="24" t="s">
        <v>74</v>
      </c>
      <c r="E253" s="8">
        <v>46083</v>
      </c>
      <c r="F253" s="8">
        <v>46092</v>
      </c>
      <c r="G253" s="9">
        <f t="shared" si="45"/>
        <v>10</v>
      </c>
      <c r="H253" s="10">
        <v>141</v>
      </c>
      <c r="I253" s="10">
        <v>63</v>
      </c>
      <c r="J253" s="10">
        <v>34</v>
      </c>
      <c r="K253" s="11">
        <f t="shared" si="39"/>
        <v>14.1</v>
      </c>
      <c r="L253" s="11">
        <f t="shared" si="40"/>
        <v>6.3</v>
      </c>
      <c r="M253" s="12">
        <f t="shared" si="41"/>
        <v>0.44680851063829785</v>
      </c>
      <c r="N253" s="11">
        <f t="shared" si="42"/>
        <v>3.4</v>
      </c>
      <c r="O253" s="12">
        <f t="shared" si="43"/>
        <v>0.53968253968253965</v>
      </c>
      <c r="P253" s="12">
        <f t="shared" si="44"/>
        <v>0.24113475177304963</v>
      </c>
    </row>
    <row r="254" spans="1:18" ht="15.75" customHeight="1" x14ac:dyDescent="0.3">
      <c r="A254" s="7" t="s">
        <v>169</v>
      </c>
      <c r="B254" s="7" t="s">
        <v>73</v>
      </c>
      <c r="C254" s="24" t="s">
        <v>58</v>
      </c>
      <c r="D254" s="24" t="s">
        <v>74</v>
      </c>
      <c r="E254" s="8">
        <v>46083</v>
      </c>
      <c r="F254" s="8">
        <v>46092</v>
      </c>
      <c r="G254" s="9">
        <f t="shared" si="45"/>
        <v>10</v>
      </c>
      <c r="H254" s="10">
        <v>318</v>
      </c>
      <c r="I254" s="10">
        <v>134</v>
      </c>
      <c r="J254" s="10">
        <v>84</v>
      </c>
      <c r="K254" s="11">
        <f t="shared" si="39"/>
        <v>31.8</v>
      </c>
      <c r="L254" s="11">
        <f t="shared" si="40"/>
        <v>13.4</v>
      </c>
      <c r="M254" s="12">
        <f t="shared" si="41"/>
        <v>0.42138364779874216</v>
      </c>
      <c r="N254" s="11">
        <f t="shared" si="42"/>
        <v>8.4</v>
      </c>
      <c r="O254" s="12">
        <f t="shared" si="43"/>
        <v>0.62686567164179108</v>
      </c>
      <c r="P254" s="12">
        <f t="shared" si="44"/>
        <v>0.26415094339622641</v>
      </c>
      <c r="Q254" s="13">
        <f>IFERROR((I254/H254)*K254,"")</f>
        <v>13.4</v>
      </c>
      <c r="R254" s="13">
        <f>IFERROR((J254/H254)*K254,"")</f>
        <v>8.4</v>
      </c>
    </row>
    <row r="255" spans="1:18" ht="15.75" customHeight="1" x14ac:dyDescent="0.3">
      <c r="A255" s="7" t="s">
        <v>169</v>
      </c>
      <c r="B255" s="7" t="s">
        <v>180</v>
      </c>
      <c r="C255" s="24" t="s">
        <v>58</v>
      </c>
      <c r="D255" s="24" t="s">
        <v>59</v>
      </c>
      <c r="E255" s="8">
        <v>46083</v>
      </c>
      <c r="F255" s="8">
        <v>46092</v>
      </c>
      <c r="G255" s="9">
        <f t="shared" si="45"/>
        <v>10</v>
      </c>
      <c r="H255" s="10">
        <v>810</v>
      </c>
      <c r="I255" s="10">
        <v>214</v>
      </c>
      <c r="J255" s="10">
        <v>159</v>
      </c>
      <c r="K255" s="11">
        <f t="shared" si="39"/>
        <v>81</v>
      </c>
      <c r="L255" s="11">
        <f t="shared" si="40"/>
        <v>21.4</v>
      </c>
      <c r="M255" s="12">
        <f t="shared" si="41"/>
        <v>0.26419753086419751</v>
      </c>
      <c r="N255" s="11">
        <f t="shared" si="42"/>
        <v>15.9</v>
      </c>
      <c r="O255" s="12">
        <f t="shared" si="43"/>
        <v>0.7429906542056075</v>
      </c>
      <c r="P255" s="12">
        <f t="shared" si="44"/>
        <v>0.1962962962962963</v>
      </c>
      <c r="Q255" s="13">
        <f>IFERROR((I255/H255)*K255,"")</f>
        <v>21.4</v>
      </c>
      <c r="R255" s="13">
        <f>IFERROR((J255/H255)*K255,"")</f>
        <v>15.9</v>
      </c>
    </row>
    <row r="256" spans="1:18" ht="15.75" customHeight="1" x14ac:dyDescent="0.3">
      <c r="A256" s="7" t="s">
        <v>169</v>
      </c>
      <c r="B256" s="7" t="s">
        <v>37</v>
      </c>
      <c r="C256" s="24" t="s">
        <v>34</v>
      </c>
      <c r="D256" s="24" t="s">
        <v>35</v>
      </c>
      <c r="E256" s="8">
        <v>46083</v>
      </c>
      <c r="F256" s="8">
        <v>46092</v>
      </c>
      <c r="G256" s="9">
        <f t="shared" si="45"/>
        <v>10</v>
      </c>
      <c r="H256" s="10">
        <v>293</v>
      </c>
      <c r="I256" s="10">
        <v>93</v>
      </c>
      <c r="J256" s="10">
        <v>46</v>
      </c>
      <c r="K256" s="11">
        <f t="shared" si="39"/>
        <v>29.3</v>
      </c>
      <c r="L256" s="11">
        <f t="shared" si="40"/>
        <v>9.3000000000000007</v>
      </c>
      <c r="M256" s="12">
        <f t="shared" si="41"/>
        <v>0.3174061433447099</v>
      </c>
      <c r="N256" s="11">
        <f t="shared" si="42"/>
        <v>4.5999999999999996</v>
      </c>
      <c r="O256" s="12">
        <f t="shared" si="43"/>
        <v>0.4946236559139785</v>
      </c>
      <c r="P256" s="12">
        <f t="shared" si="44"/>
        <v>0.15699658703071673</v>
      </c>
      <c r="Q256" s="13">
        <f>IFERROR((I256/H256)*K256,"")</f>
        <v>9.3000000000000007</v>
      </c>
      <c r="R256" s="13">
        <f>IFERROR((J256/H256)*K256,"")</f>
        <v>4.6000000000000005</v>
      </c>
    </row>
    <row r="257" spans="1:18" ht="15.75" customHeight="1" x14ac:dyDescent="0.3">
      <c r="A257" s="7" t="s">
        <v>169</v>
      </c>
      <c r="B257" s="7" t="s">
        <v>181</v>
      </c>
      <c r="C257" s="24" t="s">
        <v>34</v>
      </c>
      <c r="D257" s="24" t="s">
        <v>91</v>
      </c>
      <c r="E257" s="8">
        <v>46083</v>
      </c>
      <c r="F257" s="8">
        <v>46092</v>
      </c>
      <c r="G257" s="9">
        <f t="shared" si="45"/>
        <v>10</v>
      </c>
      <c r="H257" s="10">
        <v>58</v>
      </c>
      <c r="I257" s="10">
        <v>27</v>
      </c>
      <c r="J257" s="10">
        <v>17</v>
      </c>
      <c r="K257" s="11">
        <f t="shared" si="39"/>
        <v>5.8</v>
      </c>
      <c r="L257" s="11">
        <f t="shared" si="40"/>
        <v>2.7</v>
      </c>
      <c r="M257" s="12">
        <f t="shared" si="41"/>
        <v>0.46551724137931033</v>
      </c>
      <c r="N257" s="11">
        <f t="shared" si="42"/>
        <v>1.7</v>
      </c>
      <c r="O257" s="12">
        <f t="shared" si="43"/>
        <v>0.62962962962962965</v>
      </c>
      <c r="P257" s="12">
        <f t="shared" si="44"/>
        <v>0.29310344827586204</v>
      </c>
      <c r="Q257" s="13">
        <f>IFERROR((I257/H257)*K257,"")</f>
        <v>2.6999999999999997</v>
      </c>
      <c r="R257" s="13">
        <f>IFERROR((J257/H257)*K257,"")</f>
        <v>1.6999999999999997</v>
      </c>
    </row>
    <row r="258" spans="1:18" ht="15.75" customHeight="1" x14ac:dyDescent="0.3">
      <c r="A258" s="7" t="s">
        <v>169</v>
      </c>
      <c r="B258" s="7" t="s">
        <v>182</v>
      </c>
      <c r="C258" s="24" t="s">
        <v>34</v>
      </c>
      <c r="D258" s="24" t="s">
        <v>76</v>
      </c>
      <c r="E258" s="8">
        <v>46083</v>
      </c>
      <c r="F258" s="8">
        <v>46092</v>
      </c>
      <c r="G258" s="9">
        <f t="shared" si="45"/>
        <v>10</v>
      </c>
      <c r="H258" s="10">
        <v>80</v>
      </c>
      <c r="I258" s="10">
        <v>8</v>
      </c>
      <c r="J258" s="10">
        <v>5</v>
      </c>
      <c r="K258" s="11">
        <f t="shared" si="39"/>
        <v>8</v>
      </c>
      <c r="L258" s="11">
        <f t="shared" si="40"/>
        <v>0.8</v>
      </c>
      <c r="M258" s="12">
        <f t="shared" si="41"/>
        <v>0.1</v>
      </c>
      <c r="N258" s="11">
        <f t="shared" si="42"/>
        <v>0.5</v>
      </c>
      <c r="O258" s="12">
        <f t="shared" si="43"/>
        <v>0.625</v>
      </c>
      <c r="P258" s="12">
        <f t="shared" si="44"/>
        <v>6.25E-2</v>
      </c>
      <c r="Q258" s="13">
        <f>IFERROR((I258/H258)*K258,"")</f>
        <v>0.8</v>
      </c>
      <c r="R258" s="13">
        <f>IFERROR((J258/H258)*K258,"")</f>
        <v>0.5</v>
      </c>
    </row>
    <row r="259" spans="1:18" ht="15.75" customHeight="1" x14ac:dyDescent="0.3">
      <c r="A259" s="7" t="s">
        <v>169</v>
      </c>
      <c r="B259" s="7" t="s">
        <v>183</v>
      </c>
      <c r="C259" s="24" t="s">
        <v>34</v>
      </c>
      <c r="D259" s="24" t="s">
        <v>44</v>
      </c>
      <c r="E259" s="8">
        <v>46083</v>
      </c>
      <c r="F259" s="8">
        <v>46092</v>
      </c>
      <c r="G259" s="9">
        <f t="shared" si="45"/>
        <v>10</v>
      </c>
      <c r="H259" s="10" t="s">
        <v>433</v>
      </c>
      <c r="I259" s="10" t="s">
        <v>433</v>
      </c>
      <c r="J259" s="10" t="s">
        <v>433</v>
      </c>
      <c r="K259" s="11" t="str">
        <f t="shared" ref="K259:K322" si="52">IFERROR(H259/G259,"")</f>
        <v/>
      </c>
      <c r="L259" s="11" t="str">
        <f t="shared" ref="L259:L322" si="53">IFERROR(I259/G259,"")</f>
        <v/>
      </c>
      <c r="M259" s="12" t="str">
        <f t="shared" ref="M259:M322" si="54">IFERROR(I259/H259,"")</f>
        <v/>
      </c>
      <c r="N259" s="11" t="str">
        <f t="shared" ref="N259:N322" si="55">IFERROR(J259/G259,"")</f>
        <v/>
      </c>
      <c r="O259" s="12" t="str">
        <f t="shared" ref="O259:O322" si="56">IFERROR(J259/I259,"")</f>
        <v/>
      </c>
      <c r="P259" s="12" t="str">
        <f t="shared" ref="P259:P322" si="57">IFERROR(J259/H259,"")</f>
        <v/>
      </c>
    </row>
    <row r="260" spans="1:18" ht="15.75" customHeight="1" x14ac:dyDescent="0.3">
      <c r="A260" s="7" t="s">
        <v>169</v>
      </c>
      <c r="B260" s="7" t="s">
        <v>184</v>
      </c>
      <c r="C260" s="24" t="s">
        <v>47</v>
      </c>
      <c r="D260" s="24" t="s">
        <v>48</v>
      </c>
      <c r="E260" s="8">
        <v>46083</v>
      </c>
      <c r="F260" s="8">
        <v>46092</v>
      </c>
      <c r="G260" s="9">
        <f t="shared" ref="G260:G323" si="58">F260-E260+1</f>
        <v>10</v>
      </c>
      <c r="H260" s="10">
        <v>739</v>
      </c>
      <c r="I260" s="10">
        <v>265</v>
      </c>
      <c r="J260" s="10">
        <v>200</v>
      </c>
      <c r="K260" s="11">
        <f t="shared" si="52"/>
        <v>73.900000000000006</v>
      </c>
      <c r="L260" s="11">
        <f t="shared" si="53"/>
        <v>26.5</v>
      </c>
      <c r="M260" s="12">
        <f t="shared" si="54"/>
        <v>0.35859269282814615</v>
      </c>
      <c r="N260" s="11">
        <f t="shared" si="55"/>
        <v>20</v>
      </c>
      <c r="O260" s="12">
        <f t="shared" si="56"/>
        <v>0.75471698113207553</v>
      </c>
      <c r="P260" s="12">
        <f t="shared" si="57"/>
        <v>0.2706359945872801</v>
      </c>
      <c r="Q260" s="13">
        <f t="shared" ref="Q260:Q291" si="59">IFERROR((I260/H260)*K260,"")</f>
        <v>26.500000000000004</v>
      </c>
      <c r="R260" s="13">
        <f t="shared" ref="R260:R291" si="60">IFERROR((J260/H260)*K260,"")</f>
        <v>20</v>
      </c>
    </row>
    <row r="261" spans="1:18" ht="15.75" customHeight="1" x14ac:dyDescent="0.3">
      <c r="A261" s="7" t="s">
        <v>169</v>
      </c>
      <c r="B261" s="7" t="s">
        <v>185</v>
      </c>
      <c r="C261" s="24" t="s">
        <v>47</v>
      </c>
      <c r="D261" s="24" t="s">
        <v>48</v>
      </c>
      <c r="E261" s="8">
        <v>46083</v>
      </c>
      <c r="F261" s="8">
        <v>46092</v>
      </c>
      <c r="G261" s="9">
        <f t="shared" si="58"/>
        <v>10</v>
      </c>
      <c r="H261" s="10">
        <v>28</v>
      </c>
      <c r="I261" s="10">
        <v>9</v>
      </c>
      <c r="J261" s="10">
        <v>8</v>
      </c>
      <c r="K261" s="11">
        <f t="shared" si="52"/>
        <v>2.8</v>
      </c>
      <c r="L261" s="11">
        <f t="shared" si="53"/>
        <v>0.9</v>
      </c>
      <c r="M261" s="12">
        <f t="shared" si="54"/>
        <v>0.32142857142857145</v>
      </c>
      <c r="N261" s="11">
        <f t="shared" si="55"/>
        <v>0.8</v>
      </c>
      <c r="O261" s="12">
        <f t="shared" si="56"/>
        <v>0.88888888888888884</v>
      </c>
      <c r="P261" s="12">
        <f t="shared" si="57"/>
        <v>0.2857142857142857</v>
      </c>
      <c r="Q261" s="13">
        <f t="shared" si="59"/>
        <v>0.9</v>
      </c>
      <c r="R261" s="13">
        <f t="shared" si="60"/>
        <v>0.79999999999999993</v>
      </c>
    </row>
    <row r="262" spans="1:18" ht="15.75" customHeight="1" x14ac:dyDescent="0.3">
      <c r="A262" s="7" t="s">
        <v>169</v>
      </c>
      <c r="B262" s="7" t="s">
        <v>186</v>
      </c>
      <c r="C262" s="24" t="s">
        <v>47</v>
      </c>
      <c r="D262" s="24" t="s">
        <v>48</v>
      </c>
      <c r="E262" s="8">
        <v>46083</v>
      </c>
      <c r="F262" s="8">
        <v>46092</v>
      </c>
      <c r="G262" s="9">
        <f t="shared" si="58"/>
        <v>10</v>
      </c>
      <c r="H262" s="10">
        <v>843</v>
      </c>
      <c r="I262" s="10">
        <v>259</v>
      </c>
      <c r="J262" s="10">
        <v>186</v>
      </c>
      <c r="K262" s="11">
        <f t="shared" si="52"/>
        <v>84.3</v>
      </c>
      <c r="L262" s="11">
        <f t="shared" si="53"/>
        <v>25.9</v>
      </c>
      <c r="M262" s="12">
        <f t="shared" si="54"/>
        <v>0.30723606168446027</v>
      </c>
      <c r="N262" s="11">
        <f t="shared" si="55"/>
        <v>18.600000000000001</v>
      </c>
      <c r="O262" s="12">
        <f t="shared" si="56"/>
        <v>0.71814671814671815</v>
      </c>
      <c r="P262" s="12">
        <f t="shared" si="57"/>
        <v>0.2206405693950178</v>
      </c>
      <c r="Q262" s="13">
        <f t="shared" si="59"/>
        <v>25.9</v>
      </c>
      <c r="R262" s="13">
        <f t="shared" si="60"/>
        <v>18.600000000000001</v>
      </c>
    </row>
    <row r="263" spans="1:18" ht="15.75" customHeight="1" x14ac:dyDescent="0.3">
      <c r="A263" s="7" t="s">
        <v>169</v>
      </c>
      <c r="B263" s="7" t="s">
        <v>187</v>
      </c>
      <c r="C263" s="24" t="s">
        <v>47</v>
      </c>
      <c r="D263" s="24" t="s">
        <v>48</v>
      </c>
      <c r="E263" s="8">
        <v>46083</v>
      </c>
      <c r="F263" s="8">
        <v>46092</v>
      </c>
      <c r="G263" s="9">
        <f t="shared" si="58"/>
        <v>10</v>
      </c>
      <c r="H263" s="10">
        <v>32</v>
      </c>
      <c r="I263" s="10">
        <v>9</v>
      </c>
      <c r="J263" s="10">
        <v>5</v>
      </c>
      <c r="K263" s="11">
        <f t="shared" si="52"/>
        <v>3.2</v>
      </c>
      <c r="L263" s="11">
        <f t="shared" si="53"/>
        <v>0.9</v>
      </c>
      <c r="M263" s="12">
        <f t="shared" si="54"/>
        <v>0.28125</v>
      </c>
      <c r="N263" s="11">
        <f t="shared" si="55"/>
        <v>0.5</v>
      </c>
      <c r="O263" s="12">
        <f t="shared" si="56"/>
        <v>0.55555555555555558</v>
      </c>
      <c r="P263" s="12">
        <f t="shared" si="57"/>
        <v>0.15625</v>
      </c>
      <c r="Q263" s="13">
        <f t="shared" si="59"/>
        <v>0.9</v>
      </c>
      <c r="R263" s="13">
        <f t="shared" si="60"/>
        <v>0.5</v>
      </c>
    </row>
    <row r="264" spans="1:18" ht="15.75" customHeight="1" x14ac:dyDescent="0.3">
      <c r="A264" s="7" t="s">
        <v>169</v>
      </c>
      <c r="B264" s="7" t="s">
        <v>188</v>
      </c>
      <c r="C264" s="24" t="s">
        <v>34</v>
      </c>
      <c r="D264" s="24" t="s">
        <v>53</v>
      </c>
      <c r="E264" s="8">
        <v>46083</v>
      </c>
      <c r="F264" s="8">
        <v>46092</v>
      </c>
      <c r="G264" s="9">
        <f t="shared" si="58"/>
        <v>10</v>
      </c>
      <c r="H264" s="10">
        <v>163</v>
      </c>
      <c r="I264" s="10">
        <v>67</v>
      </c>
      <c r="J264" s="10">
        <v>41</v>
      </c>
      <c r="K264" s="11">
        <f t="shared" si="52"/>
        <v>16.3</v>
      </c>
      <c r="L264" s="11">
        <f t="shared" si="53"/>
        <v>6.7</v>
      </c>
      <c r="M264" s="12">
        <f t="shared" si="54"/>
        <v>0.41104294478527609</v>
      </c>
      <c r="N264" s="11">
        <f t="shared" si="55"/>
        <v>4.0999999999999996</v>
      </c>
      <c r="O264" s="12">
        <f t="shared" si="56"/>
        <v>0.61194029850746268</v>
      </c>
      <c r="P264" s="12">
        <f t="shared" si="57"/>
        <v>0.25153374233128833</v>
      </c>
      <c r="Q264" s="13">
        <f t="shared" si="59"/>
        <v>6.7</v>
      </c>
      <c r="R264" s="13">
        <f t="shared" si="60"/>
        <v>4.0999999999999996</v>
      </c>
    </row>
    <row r="265" spans="1:18" ht="15.75" customHeight="1" x14ac:dyDescent="0.3">
      <c r="A265" s="7" t="s">
        <v>169</v>
      </c>
      <c r="B265" s="7" t="s">
        <v>52</v>
      </c>
      <c r="C265" s="24" t="s">
        <v>47</v>
      </c>
      <c r="D265" s="24" t="s">
        <v>53</v>
      </c>
      <c r="E265" s="8">
        <v>46083</v>
      </c>
      <c r="F265" s="8">
        <v>46092</v>
      </c>
      <c r="G265" s="9">
        <f t="shared" si="58"/>
        <v>10</v>
      </c>
      <c r="H265" s="10">
        <v>587</v>
      </c>
      <c r="I265" s="10">
        <v>188</v>
      </c>
      <c r="J265" s="10">
        <v>129</v>
      </c>
      <c r="K265" s="11">
        <f t="shared" si="52"/>
        <v>58.7</v>
      </c>
      <c r="L265" s="11">
        <f t="shared" si="53"/>
        <v>18.8</v>
      </c>
      <c r="M265" s="12">
        <f t="shared" si="54"/>
        <v>0.32027257240204432</v>
      </c>
      <c r="N265" s="11">
        <f t="shared" si="55"/>
        <v>12.9</v>
      </c>
      <c r="O265" s="12">
        <f t="shared" si="56"/>
        <v>0.68617021276595747</v>
      </c>
      <c r="P265" s="12">
        <f t="shared" si="57"/>
        <v>0.21976149914821125</v>
      </c>
      <c r="Q265" s="13">
        <f t="shared" si="59"/>
        <v>18.800000000000004</v>
      </c>
      <c r="R265" s="13">
        <f t="shared" si="60"/>
        <v>12.9</v>
      </c>
    </row>
    <row r="266" spans="1:18" ht="15.75" customHeight="1" x14ac:dyDescent="0.3">
      <c r="A266" s="7" t="s">
        <v>169</v>
      </c>
      <c r="B266" s="7" t="s">
        <v>55</v>
      </c>
      <c r="C266" s="24" t="s">
        <v>47</v>
      </c>
      <c r="D266" s="24" t="s">
        <v>56</v>
      </c>
      <c r="E266" s="8">
        <v>46083</v>
      </c>
      <c r="F266" s="8">
        <v>46092</v>
      </c>
      <c r="G266" s="9">
        <f t="shared" si="58"/>
        <v>10</v>
      </c>
      <c r="H266" s="10">
        <v>243</v>
      </c>
      <c r="I266" s="10">
        <v>106</v>
      </c>
      <c r="J266" s="10">
        <v>80</v>
      </c>
      <c r="K266" s="11">
        <f t="shared" si="52"/>
        <v>24.3</v>
      </c>
      <c r="L266" s="11">
        <f t="shared" si="53"/>
        <v>10.6</v>
      </c>
      <c r="M266" s="12">
        <f t="shared" si="54"/>
        <v>0.43621399176954734</v>
      </c>
      <c r="N266" s="11">
        <f t="shared" si="55"/>
        <v>8</v>
      </c>
      <c r="O266" s="12">
        <f t="shared" si="56"/>
        <v>0.75471698113207553</v>
      </c>
      <c r="P266" s="12">
        <f t="shared" si="57"/>
        <v>0.32921810699588477</v>
      </c>
      <c r="Q266" s="13">
        <f t="shared" si="59"/>
        <v>10.600000000000001</v>
      </c>
      <c r="R266" s="13">
        <f t="shared" si="60"/>
        <v>8</v>
      </c>
    </row>
    <row r="267" spans="1:18" ht="15.75" customHeight="1" x14ac:dyDescent="0.3">
      <c r="A267" s="7" t="s">
        <v>169</v>
      </c>
      <c r="B267" s="7" t="s">
        <v>189</v>
      </c>
      <c r="C267" s="24" t="s">
        <v>47</v>
      </c>
      <c r="D267" s="24" t="s">
        <v>56</v>
      </c>
      <c r="E267" s="8">
        <v>46083</v>
      </c>
      <c r="F267" s="8">
        <v>46092</v>
      </c>
      <c r="G267" s="9">
        <f t="shared" si="58"/>
        <v>10</v>
      </c>
      <c r="H267" s="10" t="s">
        <v>433</v>
      </c>
      <c r="I267" s="10" t="s">
        <v>433</v>
      </c>
      <c r="J267" s="10" t="s">
        <v>433</v>
      </c>
      <c r="K267" s="11" t="str">
        <f t="shared" si="52"/>
        <v/>
      </c>
      <c r="L267" s="11" t="str">
        <f t="shared" si="53"/>
        <v/>
      </c>
      <c r="M267" s="12" t="str">
        <f t="shared" si="54"/>
        <v/>
      </c>
      <c r="N267" s="11" t="str">
        <f t="shared" si="55"/>
        <v/>
      </c>
      <c r="O267" s="12" t="str">
        <f t="shared" si="56"/>
        <v/>
      </c>
      <c r="P267" s="12" t="str">
        <f t="shared" si="57"/>
        <v/>
      </c>
      <c r="Q267" s="13" t="str">
        <f t="shared" si="59"/>
        <v/>
      </c>
      <c r="R267" s="13" t="str">
        <f t="shared" si="60"/>
        <v/>
      </c>
    </row>
    <row r="268" spans="1:18" ht="15.75" customHeight="1" x14ac:dyDescent="0.3">
      <c r="A268" s="7" t="s">
        <v>169</v>
      </c>
      <c r="B268" s="7" t="s">
        <v>146</v>
      </c>
      <c r="C268" s="24" t="s">
        <v>443</v>
      </c>
      <c r="D268" s="24" t="s">
        <v>147</v>
      </c>
      <c r="E268" s="8">
        <v>46083</v>
      </c>
      <c r="F268" s="8">
        <v>46092</v>
      </c>
      <c r="G268" s="9">
        <f t="shared" si="58"/>
        <v>10</v>
      </c>
      <c r="H268" s="10">
        <v>230</v>
      </c>
      <c r="I268" s="10">
        <v>46</v>
      </c>
      <c r="J268" s="10">
        <v>32</v>
      </c>
      <c r="K268" s="11">
        <f t="shared" si="52"/>
        <v>23</v>
      </c>
      <c r="L268" s="11">
        <f t="shared" si="53"/>
        <v>4.5999999999999996</v>
      </c>
      <c r="M268" s="12">
        <f t="shared" si="54"/>
        <v>0.2</v>
      </c>
      <c r="N268" s="11">
        <f t="shared" si="55"/>
        <v>3.2</v>
      </c>
      <c r="O268" s="12">
        <f t="shared" si="56"/>
        <v>0.69565217391304346</v>
      </c>
      <c r="P268" s="12">
        <f t="shared" si="57"/>
        <v>0.1391304347826087</v>
      </c>
      <c r="Q268" s="13">
        <f t="shared" si="59"/>
        <v>4.6000000000000005</v>
      </c>
      <c r="R268" s="13">
        <f t="shared" si="60"/>
        <v>3.2</v>
      </c>
    </row>
    <row r="269" spans="1:18" ht="15.75" customHeight="1" x14ac:dyDescent="0.3">
      <c r="A269" s="7" t="s">
        <v>169</v>
      </c>
      <c r="B269" s="7" t="s">
        <v>190</v>
      </c>
      <c r="C269" s="24" t="s">
        <v>47</v>
      </c>
      <c r="D269" s="24" t="s">
        <v>56</v>
      </c>
      <c r="E269" s="8">
        <v>46083</v>
      </c>
      <c r="F269" s="8">
        <v>46092</v>
      </c>
      <c r="G269" s="9">
        <f t="shared" si="58"/>
        <v>10</v>
      </c>
      <c r="H269" s="10">
        <v>3</v>
      </c>
      <c r="I269" s="10">
        <v>1</v>
      </c>
      <c r="J269" s="10">
        <v>1</v>
      </c>
      <c r="K269" s="11">
        <f t="shared" si="52"/>
        <v>0.3</v>
      </c>
      <c r="L269" s="11">
        <f t="shared" si="53"/>
        <v>0.1</v>
      </c>
      <c r="M269" s="12">
        <f t="shared" si="54"/>
        <v>0.33333333333333331</v>
      </c>
      <c r="N269" s="11">
        <f t="shared" si="55"/>
        <v>0.1</v>
      </c>
      <c r="O269" s="12">
        <f t="shared" si="56"/>
        <v>1</v>
      </c>
      <c r="P269" s="12">
        <f t="shared" si="57"/>
        <v>0.33333333333333331</v>
      </c>
      <c r="Q269" s="13">
        <f t="shared" si="59"/>
        <v>9.9999999999999992E-2</v>
      </c>
      <c r="R269" s="13">
        <f t="shared" si="60"/>
        <v>9.9999999999999992E-2</v>
      </c>
    </row>
    <row r="270" spans="1:18" ht="15.75" customHeight="1" x14ac:dyDescent="0.3">
      <c r="A270" s="7" t="s">
        <v>169</v>
      </c>
      <c r="B270" s="7" t="s">
        <v>123</v>
      </c>
      <c r="C270" s="24" t="s">
        <v>58</v>
      </c>
      <c r="D270" s="24" t="s">
        <v>124</v>
      </c>
      <c r="E270" s="8">
        <v>46083</v>
      </c>
      <c r="F270" s="8">
        <v>46092</v>
      </c>
      <c r="G270" s="9">
        <f t="shared" si="58"/>
        <v>10</v>
      </c>
      <c r="H270" s="10">
        <v>8</v>
      </c>
      <c r="I270" s="10">
        <v>6</v>
      </c>
      <c r="J270" s="10">
        <v>4</v>
      </c>
      <c r="K270" s="11">
        <f t="shared" si="52"/>
        <v>0.8</v>
      </c>
      <c r="L270" s="11">
        <f t="shared" si="53"/>
        <v>0.6</v>
      </c>
      <c r="M270" s="12">
        <f t="shared" si="54"/>
        <v>0.75</v>
      </c>
      <c r="N270" s="11">
        <f t="shared" si="55"/>
        <v>0.4</v>
      </c>
      <c r="O270" s="12">
        <f t="shared" si="56"/>
        <v>0.66666666666666663</v>
      </c>
      <c r="P270" s="12">
        <f t="shared" si="57"/>
        <v>0.5</v>
      </c>
      <c r="Q270" s="13">
        <f t="shared" si="59"/>
        <v>0.60000000000000009</v>
      </c>
      <c r="R270" s="13">
        <f t="shared" si="60"/>
        <v>0.4</v>
      </c>
    </row>
    <row r="271" spans="1:18" ht="15.75" customHeight="1" x14ac:dyDescent="0.3">
      <c r="A271" s="7" t="s">
        <v>169</v>
      </c>
      <c r="B271" s="7" t="s">
        <v>191</v>
      </c>
      <c r="C271" s="24" t="s">
        <v>58</v>
      </c>
      <c r="D271" s="24" t="s">
        <v>61</v>
      </c>
      <c r="E271" s="8">
        <v>46083</v>
      </c>
      <c r="F271" s="8">
        <v>46092</v>
      </c>
      <c r="G271" s="9">
        <f t="shared" si="58"/>
        <v>10</v>
      </c>
      <c r="H271" s="10">
        <v>397</v>
      </c>
      <c r="I271" s="10">
        <v>90</v>
      </c>
      <c r="J271" s="10">
        <v>54</v>
      </c>
      <c r="K271" s="11">
        <f t="shared" si="52"/>
        <v>39.700000000000003</v>
      </c>
      <c r="L271" s="11">
        <f t="shared" si="53"/>
        <v>9</v>
      </c>
      <c r="M271" s="12">
        <f t="shared" si="54"/>
        <v>0.22670025188916876</v>
      </c>
      <c r="N271" s="11">
        <f t="shared" si="55"/>
        <v>5.4</v>
      </c>
      <c r="O271" s="12">
        <f t="shared" si="56"/>
        <v>0.6</v>
      </c>
      <c r="P271" s="12">
        <f t="shared" si="57"/>
        <v>0.13602015113350127</v>
      </c>
      <c r="Q271" s="13">
        <f t="shared" si="59"/>
        <v>9</v>
      </c>
      <c r="R271" s="13">
        <f t="shared" si="60"/>
        <v>5.4000000000000012</v>
      </c>
    </row>
    <row r="272" spans="1:18" ht="15.75" customHeight="1" x14ac:dyDescent="0.3">
      <c r="A272" s="7" t="s">
        <v>169</v>
      </c>
      <c r="B272" s="7" t="s">
        <v>192</v>
      </c>
      <c r="C272" s="24" t="s">
        <v>58</v>
      </c>
      <c r="D272" s="24" t="s">
        <v>193</v>
      </c>
      <c r="E272" s="8">
        <v>46083</v>
      </c>
      <c r="F272" s="8">
        <v>46092</v>
      </c>
      <c r="G272" s="9">
        <f t="shared" si="58"/>
        <v>10</v>
      </c>
      <c r="H272" s="10">
        <v>9</v>
      </c>
      <c r="I272" s="10">
        <v>4</v>
      </c>
      <c r="J272" s="10">
        <v>3</v>
      </c>
      <c r="K272" s="11">
        <f t="shared" si="52"/>
        <v>0.9</v>
      </c>
      <c r="L272" s="11">
        <f t="shared" si="53"/>
        <v>0.4</v>
      </c>
      <c r="M272" s="12">
        <f t="shared" si="54"/>
        <v>0.44444444444444442</v>
      </c>
      <c r="N272" s="11">
        <f t="shared" si="55"/>
        <v>0.3</v>
      </c>
      <c r="O272" s="12">
        <f t="shared" si="56"/>
        <v>0.75</v>
      </c>
      <c r="P272" s="12">
        <f t="shared" si="57"/>
        <v>0.33333333333333331</v>
      </c>
      <c r="Q272" s="13">
        <f t="shared" si="59"/>
        <v>0.39999999999999997</v>
      </c>
      <c r="R272" s="13">
        <f t="shared" si="60"/>
        <v>0.3</v>
      </c>
    </row>
    <row r="273" spans="1:18" ht="15.75" customHeight="1" x14ac:dyDescent="0.3">
      <c r="A273" s="7" t="s">
        <v>169</v>
      </c>
      <c r="B273" s="7" t="s">
        <v>194</v>
      </c>
      <c r="C273" s="24" t="s">
        <v>58</v>
      </c>
      <c r="D273" s="24" t="s">
        <v>103</v>
      </c>
      <c r="E273" s="8">
        <v>46083</v>
      </c>
      <c r="F273" s="8">
        <v>46092</v>
      </c>
      <c r="G273" s="9">
        <f t="shared" si="58"/>
        <v>10</v>
      </c>
      <c r="H273" s="10">
        <v>290</v>
      </c>
      <c r="I273" s="10">
        <v>56</v>
      </c>
      <c r="J273" s="10">
        <v>41</v>
      </c>
      <c r="K273" s="11">
        <f t="shared" si="52"/>
        <v>29</v>
      </c>
      <c r="L273" s="11">
        <f t="shared" si="53"/>
        <v>5.6</v>
      </c>
      <c r="M273" s="12">
        <f t="shared" si="54"/>
        <v>0.19310344827586207</v>
      </c>
      <c r="N273" s="11">
        <f t="shared" si="55"/>
        <v>4.0999999999999996</v>
      </c>
      <c r="O273" s="12">
        <f t="shared" si="56"/>
        <v>0.7321428571428571</v>
      </c>
      <c r="P273" s="12">
        <f t="shared" si="57"/>
        <v>0.14137931034482759</v>
      </c>
      <c r="Q273" s="13">
        <f t="shared" si="59"/>
        <v>5.6</v>
      </c>
      <c r="R273" s="13">
        <f t="shared" si="60"/>
        <v>4.1000000000000005</v>
      </c>
    </row>
    <row r="274" spans="1:18" ht="15.75" customHeight="1" x14ac:dyDescent="0.3">
      <c r="A274" s="7" t="s">
        <v>169</v>
      </c>
      <c r="B274" s="7" t="s">
        <v>243</v>
      </c>
      <c r="C274" s="24" t="s">
        <v>58</v>
      </c>
      <c r="D274" s="24" t="s">
        <v>193</v>
      </c>
      <c r="E274" s="8">
        <v>46083</v>
      </c>
      <c r="F274" s="8">
        <v>46092</v>
      </c>
      <c r="G274" s="9">
        <f t="shared" si="58"/>
        <v>10</v>
      </c>
      <c r="H274" s="10" t="s">
        <v>433</v>
      </c>
      <c r="I274" s="10" t="s">
        <v>433</v>
      </c>
      <c r="J274" s="10" t="s">
        <v>433</v>
      </c>
      <c r="K274" s="11" t="str">
        <f t="shared" si="52"/>
        <v/>
      </c>
      <c r="L274" s="11" t="str">
        <f t="shared" si="53"/>
        <v/>
      </c>
      <c r="M274" s="12" t="str">
        <f t="shared" si="54"/>
        <v/>
      </c>
      <c r="N274" s="11" t="str">
        <f t="shared" si="55"/>
        <v/>
      </c>
      <c r="O274" s="12" t="str">
        <f t="shared" si="56"/>
        <v/>
      </c>
      <c r="P274" s="12" t="str">
        <f t="shared" si="57"/>
        <v/>
      </c>
      <c r="Q274" s="13" t="str">
        <f t="shared" si="59"/>
        <v/>
      </c>
      <c r="R274" s="13" t="str">
        <f t="shared" si="60"/>
        <v/>
      </c>
    </row>
    <row r="275" spans="1:18" ht="15.75" customHeight="1" x14ac:dyDescent="0.3">
      <c r="A275" s="7" t="s">
        <v>169</v>
      </c>
      <c r="B275" s="7" t="s">
        <v>86</v>
      </c>
      <c r="C275" s="24" t="s">
        <v>58</v>
      </c>
      <c r="D275" s="24" t="s">
        <v>64</v>
      </c>
      <c r="E275" s="8">
        <v>46083</v>
      </c>
      <c r="F275" s="8">
        <v>46092</v>
      </c>
      <c r="G275" s="9">
        <f t="shared" si="58"/>
        <v>10</v>
      </c>
      <c r="H275" s="10">
        <v>37</v>
      </c>
      <c r="I275" s="10">
        <v>14</v>
      </c>
      <c r="J275" s="10">
        <v>11</v>
      </c>
      <c r="K275" s="11">
        <f t="shared" si="52"/>
        <v>3.7</v>
      </c>
      <c r="L275" s="11">
        <f t="shared" si="53"/>
        <v>1.4</v>
      </c>
      <c r="M275" s="12">
        <f t="shared" si="54"/>
        <v>0.3783783783783784</v>
      </c>
      <c r="N275" s="11">
        <f t="shared" si="55"/>
        <v>1.1000000000000001</v>
      </c>
      <c r="O275" s="12">
        <f t="shared" si="56"/>
        <v>0.7857142857142857</v>
      </c>
      <c r="P275" s="12">
        <f t="shared" si="57"/>
        <v>0.29729729729729731</v>
      </c>
      <c r="Q275" s="13">
        <f t="shared" si="59"/>
        <v>1.4000000000000001</v>
      </c>
      <c r="R275" s="13">
        <f t="shared" si="60"/>
        <v>1.1000000000000001</v>
      </c>
    </row>
    <row r="276" spans="1:18" ht="15.75" customHeight="1" x14ac:dyDescent="0.3">
      <c r="A276" s="7" t="s">
        <v>169</v>
      </c>
      <c r="B276" s="7" t="s">
        <v>195</v>
      </c>
      <c r="C276" s="24" t="s">
        <v>58</v>
      </c>
      <c r="D276" s="24" t="s">
        <v>444</v>
      </c>
      <c r="E276" s="8">
        <v>46083</v>
      </c>
      <c r="F276" s="8">
        <v>46092</v>
      </c>
      <c r="G276" s="9">
        <f t="shared" si="58"/>
        <v>10</v>
      </c>
      <c r="H276" s="10">
        <v>253</v>
      </c>
      <c r="I276" s="10">
        <v>101</v>
      </c>
      <c r="J276" s="10">
        <v>64</v>
      </c>
      <c r="K276" s="11">
        <f t="shared" si="52"/>
        <v>25.3</v>
      </c>
      <c r="L276" s="11">
        <f t="shared" si="53"/>
        <v>10.1</v>
      </c>
      <c r="M276" s="12">
        <f t="shared" si="54"/>
        <v>0.39920948616600793</v>
      </c>
      <c r="N276" s="11">
        <f t="shared" si="55"/>
        <v>6.4</v>
      </c>
      <c r="O276" s="12">
        <f t="shared" si="56"/>
        <v>0.63366336633663367</v>
      </c>
      <c r="P276" s="12">
        <f t="shared" si="57"/>
        <v>0.25296442687747034</v>
      </c>
      <c r="Q276" s="13">
        <f t="shared" si="59"/>
        <v>10.100000000000001</v>
      </c>
      <c r="R276" s="13">
        <f t="shared" si="60"/>
        <v>6.3999999999999995</v>
      </c>
    </row>
    <row r="277" spans="1:18" ht="15.75" customHeight="1" x14ac:dyDescent="0.3">
      <c r="A277" s="7" t="s">
        <v>169</v>
      </c>
      <c r="B277" s="7" t="s">
        <v>196</v>
      </c>
      <c r="C277" s="24" t="s">
        <v>58</v>
      </c>
      <c r="D277" s="24" t="s">
        <v>66</v>
      </c>
      <c r="E277" s="8">
        <v>46083</v>
      </c>
      <c r="F277" s="8">
        <v>46092</v>
      </c>
      <c r="G277" s="9">
        <f t="shared" si="58"/>
        <v>10</v>
      </c>
      <c r="H277" s="10">
        <v>164</v>
      </c>
      <c r="I277" s="10">
        <v>54</v>
      </c>
      <c r="J277" s="10">
        <v>25</v>
      </c>
      <c r="K277" s="11">
        <f t="shared" si="52"/>
        <v>16.399999999999999</v>
      </c>
      <c r="L277" s="11">
        <f t="shared" si="53"/>
        <v>5.4</v>
      </c>
      <c r="M277" s="12">
        <f t="shared" si="54"/>
        <v>0.32926829268292684</v>
      </c>
      <c r="N277" s="11">
        <f t="shared" si="55"/>
        <v>2.5</v>
      </c>
      <c r="O277" s="12">
        <f t="shared" si="56"/>
        <v>0.46296296296296297</v>
      </c>
      <c r="P277" s="12">
        <f t="shared" si="57"/>
        <v>0.1524390243902439</v>
      </c>
      <c r="Q277" s="13">
        <f t="shared" si="59"/>
        <v>5.3999999999999995</v>
      </c>
      <c r="R277" s="13">
        <f t="shared" si="60"/>
        <v>2.4999999999999996</v>
      </c>
    </row>
    <row r="278" spans="1:18" ht="15.75" customHeight="1" x14ac:dyDescent="0.3">
      <c r="A278" s="7" t="s">
        <v>169</v>
      </c>
      <c r="B278" s="7" t="s">
        <v>197</v>
      </c>
      <c r="C278" s="24" t="s">
        <v>58</v>
      </c>
      <c r="D278" s="24" t="s">
        <v>68</v>
      </c>
      <c r="E278" s="8">
        <v>46083</v>
      </c>
      <c r="F278" s="8">
        <v>46092</v>
      </c>
      <c r="G278" s="9">
        <f t="shared" si="58"/>
        <v>10</v>
      </c>
      <c r="H278" s="10">
        <v>9</v>
      </c>
      <c r="I278" s="10">
        <v>5</v>
      </c>
      <c r="J278" s="10">
        <v>4</v>
      </c>
      <c r="K278" s="11">
        <f t="shared" si="52"/>
        <v>0.9</v>
      </c>
      <c r="L278" s="11">
        <f t="shared" si="53"/>
        <v>0.5</v>
      </c>
      <c r="M278" s="12">
        <f t="shared" si="54"/>
        <v>0.55555555555555558</v>
      </c>
      <c r="N278" s="11">
        <f t="shared" si="55"/>
        <v>0.4</v>
      </c>
      <c r="O278" s="12">
        <f t="shared" si="56"/>
        <v>0.8</v>
      </c>
      <c r="P278" s="12">
        <f t="shared" si="57"/>
        <v>0.44444444444444442</v>
      </c>
      <c r="Q278" s="13">
        <f t="shared" si="59"/>
        <v>0.5</v>
      </c>
      <c r="R278" s="13">
        <f t="shared" si="60"/>
        <v>0.39999999999999997</v>
      </c>
    </row>
    <row r="279" spans="1:18" ht="15.75" customHeight="1" x14ac:dyDescent="0.3">
      <c r="A279" s="7" t="s">
        <v>169</v>
      </c>
      <c r="B279" s="7" t="s">
        <v>198</v>
      </c>
      <c r="C279" s="24" t="s">
        <v>58</v>
      </c>
      <c r="D279" s="24" t="s">
        <v>66</v>
      </c>
      <c r="E279" s="8">
        <v>46083</v>
      </c>
      <c r="F279" s="8">
        <v>46092</v>
      </c>
      <c r="G279" s="9">
        <f t="shared" si="58"/>
        <v>10</v>
      </c>
      <c r="H279" s="10">
        <v>245</v>
      </c>
      <c r="I279" s="10">
        <v>54</v>
      </c>
      <c r="J279" s="10">
        <v>33</v>
      </c>
      <c r="K279" s="11">
        <f t="shared" si="52"/>
        <v>24.5</v>
      </c>
      <c r="L279" s="11">
        <f t="shared" si="53"/>
        <v>5.4</v>
      </c>
      <c r="M279" s="12">
        <f t="shared" si="54"/>
        <v>0.22040816326530613</v>
      </c>
      <c r="N279" s="11">
        <f t="shared" si="55"/>
        <v>3.3</v>
      </c>
      <c r="O279" s="12">
        <f t="shared" si="56"/>
        <v>0.61111111111111116</v>
      </c>
      <c r="P279" s="12">
        <f t="shared" si="57"/>
        <v>0.13469387755102041</v>
      </c>
      <c r="Q279" s="13">
        <f t="shared" si="59"/>
        <v>5.4</v>
      </c>
      <c r="R279" s="13">
        <f t="shared" si="60"/>
        <v>3.3000000000000003</v>
      </c>
    </row>
    <row r="280" spans="1:18" ht="15.75" customHeight="1" x14ac:dyDescent="0.3">
      <c r="A280" s="7" t="s">
        <v>169</v>
      </c>
      <c r="B280" s="7" t="s">
        <v>199</v>
      </c>
      <c r="C280" s="24" t="s">
        <v>58</v>
      </c>
      <c r="D280" s="24" t="s">
        <v>68</v>
      </c>
      <c r="E280" s="8">
        <v>46083</v>
      </c>
      <c r="F280" s="8">
        <v>46092</v>
      </c>
      <c r="G280" s="9">
        <f t="shared" si="58"/>
        <v>10</v>
      </c>
      <c r="H280" s="10">
        <v>28</v>
      </c>
      <c r="I280" s="10">
        <v>21</v>
      </c>
      <c r="J280" s="10">
        <v>15</v>
      </c>
      <c r="K280" s="11">
        <f t="shared" si="52"/>
        <v>2.8</v>
      </c>
      <c r="L280" s="11">
        <f t="shared" si="53"/>
        <v>2.1</v>
      </c>
      <c r="M280" s="12">
        <f t="shared" si="54"/>
        <v>0.75</v>
      </c>
      <c r="N280" s="11">
        <f t="shared" si="55"/>
        <v>1.5</v>
      </c>
      <c r="O280" s="12">
        <f t="shared" si="56"/>
        <v>0.7142857142857143</v>
      </c>
      <c r="P280" s="12">
        <f t="shared" si="57"/>
        <v>0.5357142857142857</v>
      </c>
      <c r="Q280" s="13">
        <f t="shared" si="59"/>
        <v>2.0999999999999996</v>
      </c>
      <c r="R280" s="13">
        <f t="shared" si="60"/>
        <v>1.4999999999999998</v>
      </c>
    </row>
    <row r="281" spans="1:18" ht="15.75" customHeight="1" x14ac:dyDescent="0.3">
      <c r="A281" s="7" t="s">
        <v>169</v>
      </c>
      <c r="B281" s="7" t="s">
        <v>200</v>
      </c>
      <c r="C281" s="24" t="s">
        <v>58</v>
      </c>
      <c r="D281" s="24" t="s">
        <v>66</v>
      </c>
      <c r="E281" s="8">
        <v>46083</v>
      </c>
      <c r="F281" s="8">
        <v>46092</v>
      </c>
      <c r="G281" s="9">
        <f t="shared" si="58"/>
        <v>10</v>
      </c>
      <c r="H281" s="10">
        <v>119</v>
      </c>
      <c r="I281" s="10">
        <v>38</v>
      </c>
      <c r="J281" s="10">
        <v>22</v>
      </c>
      <c r="K281" s="11">
        <f t="shared" si="52"/>
        <v>11.9</v>
      </c>
      <c r="L281" s="11">
        <f t="shared" si="53"/>
        <v>3.8</v>
      </c>
      <c r="M281" s="12">
        <f t="shared" si="54"/>
        <v>0.31932773109243695</v>
      </c>
      <c r="N281" s="11">
        <f t="shared" si="55"/>
        <v>2.2000000000000002</v>
      </c>
      <c r="O281" s="12">
        <f t="shared" si="56"/>
        <v>0.57894736842105265</v>
      </c>
      <c r="P281" s="12">
        <f t="shared" si="57"/>
        <v>0.18487394957983194</v>
      </c>
      <c r="Q281" s="13">
        <f t="shared" si="59"/>
        <v>3.8</v>
      </c>
      <c r="R281" s="13">
        <f t="shared" si="60"/>
        <v>2.2000000000000002</v>
      </c>
    </row>
    <row r="282" spans="1:18" ht="15.75" customHeight="1" x14ac:dyDescent="0.3">
      <c r="A282" s="7" t="s">
        <v>169</v>
      </c>
      <c r="B282" s="7" t="s">
        <v>201</v>
      </c>
      <c r="C282" s="24" t="s">
        <v>58</v>
      </c>
      <c r="D282" s="24" t="s">
        <v>68</v>
      </c>
      <c r="E282" s="8">
        <v>46083</v>
      </c>
      <c r="F282" s="8">
        <v>46092</v>
      </c>
      <c r="G282" s="9">
        <f t="shared" si="58"/>
        <v>10</v>
      </c>
      <c r="H282" s="10">
        <v>21</v>
      </c>
      <c r="I282" s="10">
        <v>13</v>
      </c>
      <c r="J282" s="10">
        <v>8</v>
      </c>
      <c r="K282" s="11">
        <f t="shared" si="52"/>
        <v>2.1</v>
      </c>
      <c r="L282" s="11">
        <f t="shared" si="53"/>
        <v>1.3</v>
      </c>
      <c r="M282" s="12">
        <f t="shared" si="54"/>
        <v>0.61904761904761907</v>
      </c>
      <c r="N282" s="11">
        <f t="shared" si="55"/>
        <v>0.8</v>
      </c>
      <c r="O282" s="12">
        <f t="shared" si="56"/>
        <v>0.61538461538461542</v>
      </c>
      <c r="P282" s="12">
        <f t="shared" si="57"/>
        <v>0.38095238095238093</v>
      </c>
      <c r="Q282" s="13">
        <f t="shared" si="59"/>
        <v>1.3</v>
      </c>
      <c r="R282" s="13">
        <f t="shared" si="60"/>
        <v>0.8</v>
      </c>
    </row>
    <row r="283" spans="1:18" ht="15.75" customHeight="1" x14ac:dyDescent="0.3">
      <c r="A283" s="7" t="s">
        <v>169</v>
      </c>
      <c r="B283" s="7" t="s">
        <v>131</v>
      </c>
      <c r="C283" s="24" t="s">
        <v>58</v>
      </c>
      <c r="D283" s="24" t="s">
        <v>74</v>
      </c>
      <c r="E283" s="8">
        <v>46083</v>
      </c>
      <c r="F283" s="8">
        <v>46092</v>
      </c>
      <c r="G283" s="9">
        <f t="shared" si="58"/>
        <v>10</v>
      </c>
      <c r="H283" s="10">
        <v>99</v>
      </c>
      <c r="I283" s="10">
        <v>50</v>
      </c>
      <c r="J283" s="10">
        <v>29</v>
      </c>
      <c r="K283" s="11">
        <f t="shared" si="52"/>
        <v>9.9</v>
      </c>
      <c r="L283" s="11">
        <f t="shared" si="53"/>
        <v>5</v>
      </c>
      <c r="M283" s="12">
        <f t="shared" si="54"/>
        <v>0.50505050505050508</v>
      </c>
      <c r="N283" s="11">
        <f t="shared" si="55"/>
        <v>2.9</v>
      </c>
      <c r="O283" s="12">
        <f t="shared" si="56"/>
        <v>0.57999999999999996</v>
      </c>
      <c r="P283" s="12">
        <f t="shared" si="57"/>
        <v>0.29292929292929293</v>
      </c>
      <c r="Q283" s="13">
        <f t="shared" si="59"/>
        <v>5.0000000000000009</v>
      </c>
      <c r="R283" s="13">
        <f t="shared" si="60"/>
        <v>2.9</v>
      </c>
    </row>
    <row r="284" spans="1:18" ht="15.75" customHeight="1" x14ac:dyDescent="0.3">
      <c r="A284" s="7" t="s">
        <v>169</v>
      </c>
      <c r="B284" s="7" t="s">
        <v>133</v>
      </c>
      <c r="C284" s="24" t="s">
        <v>58</v>
      </c>
      <c r="D284" s="24" t="s">
        <v>74</v>
      </c>
      <c r="E284" s="8">
        <v>46083</v>
      </c>
      <c r="F284" s="8">
        <v>46092</v>
      </c>
      <c r="G284" s="9">
        <f t="shared" si="58"/>
        <v>10</v>
      </c>
      <c r="H284" s="10">
        <v>95</v>
      </c>
      <c r="I284" s="10">
        <v>36</v>
      </c>
      <c r="J284" s="10">
        <v>27</v>
      </c>
      <c r="K284" s="11">
        <f t="shared" si="52"/>
        <v>9.5</v>
      </c>
      <c r="L284" s="11">
        <f t="shared" si="53"/>
        <v>3.6</v>
      </c>
      <c r="M284" s="12">
        <f t="shared" si="54"/>
        <v>0.37894736842105264</v>
      </c>
      <c r="N284" s="11">
        <f t="shared" si="55"/>
        <v>2.7</v>
      </c>
      <c r="O284" s="12">
        <f t="shared" si="56"/>
        <v>0.75</v>
      </c>
      <c r="P284" s="12">
        <f t="shared" si="57"/>
        <v>0.28421052631578947</v>
      </c>
      <c r="Q284" s="13">
        <f t="shared" si="59"/>
        <v>3.6</v>
      </c>
      <c r="R284" s="13">
        <f t="shared" si="60"/>
        <v>2.7</v>
      </c>
    </row>
    <row r="285" spans="1:18" ht="15.75" customHeight="1" x14ac:dyDescent="0.3">
      <c r="A285" s="7" t="s">
        <v>169</v>
      </c>
      <c r="B285" s="7" t="s">
        <v>202</v>
      </c>
      <c r="C285" s="24" t="s">
        <v>58</v>
      </c>
      <c r="D285" s="24" t="s">
        <v>59</v>
      </c>
      <c r="E285" s="8">
        <v>46083</v>
      </c>
      <c r="F285" s="8">
        <v>46092</v>
      </c>
      <c r="G285" s="9">
        <f t="shared" si="58"/>
        <v>10</v>
      </c>
      <c r="H285" s="10">
        <v>137</v>
      </c>
      <c r="I285" s="10">
        <v>59</v>
      </c>
      <c r="J285" s="10">
        <v>43</v>
      </c>
      <c r="K285" s="11">
        <f t="shared" si="52"/>
        <v>13.7</v>
      </c>
      <c r="L285" s="11">
        <f t="shared" si="53"/>
        <v>5.9</v>
      </c>
      <c r="M285" s="12">
        <f t="shared" si="54"/>
        <v>0.43065693430656932</v>
      </c>
      <c r="N285" s="11">
        <f t="shared" si="55"/>
        <v>4.3</v>
      </c>
      <c r="O285" s="12">
        <f t="shared" si="56"/>
        <v>0.72881355932203384</v>
      </c>
      <c r="P285" s="12">
        <f t="shared" si="57"/>
        <v>0.31386861313868614</v>
      </c>
      <c r="Q285" s="13">
        <f t="shared" si="59"/>
        <v>5.8999999999999995</v>
      </c>
      <c r="R285" s="13">
        <f t="shared" si="60"/>
        <v>4.3</v>
      </c>
    </row>
    <row r="286" spans="1:18" ht="15.75" customHeight="1" x14ac:dyDescent="0.3">
      <c r="A286" s="7" t="s">
        <v>169</v>
      </c>
      <c r="B286" s="7" t="s">
        <v>203</v>
      </c>
      <c r="C286" s="24" t="s">
        <v>58</v>
      </c>
      <c r="D286" s="24" t="s">
        <v>59</v>
      </c>
      <c r="E286" s="8">
        <v>46083</v>
      </c>
      <c r="F286" s="8">
        <v>46092</v>
      </c>
      <c r="G286" s="9">
        <f t="shared" si="58"/>
        <v>10</v>
      </c>
      <c r="H286" s="10">
        <v>37</v>
      </c>
      <c r="I286" s="10">
        <v>10</v>
      </c>
      <c r="J286" s="10">
        <v>9</v>
      </c>
      <c r="K286" s="11">
        <f t="shared" si="52"/>
        <v>3.7</v>
      </c>
      <c r="L286" s="11">
        <f t="shared" si="53"/>
        <v>1</v>
      </c>
      <c r="M286" s="12">
        <f t="shared" si="54"/>
        <v>0.27027027027027029</v>
      </c>
      <c r="N286" s="11">
        <f t="shared" si="55"/>
        <v>0.9</v>
      </c>
      <c r="O286" s="12">
        <f t="shared" si="56"/>
        <v>0.9</v>
      </c>
      <c r="P286" s="12">
        <f t="shared" si="57"/>
        <v>0.24324324324324326</v>
      </c>
      <c r="Q286" s="13">
        <f t="shared" si="59"/>
        <v>1</v>
      </c>
      <c r="R286" s="13">
        <f t="shared" si="60"/>
        <v>0.90000000000000013</v>
      </c>
    </row>
    <row r="287" spans="1:18" ht="15.75" customHeight="1" x14ac:dyDescent="0.3">
      <c r="A287" s="7" t="s">
        <v>204</v>
      </c>
      <c r="B287" s="7" t="s">
        <v>170</v>
      </c>
      <c r="C287" s="24" t="s">
        <v>34</v>
      </c>
      <c r="D287" s="24" t="s">
        <v>35</v>
      </c>
      <c r="E287" s="8">
        <v>46093</v>
      </c>
      <c r="F287" s="8">
        <v>46100</v>
      </c>
      <c r="G287" s="9">
        <f t="shared" si="58"/>
        <v>8</v>
      </c>
      <c r="H287" s="10">
        <v>805</v>
      </c>
      <c r="I287" s="10">
        <v>339</v>
      </c>
      <c r="J287" s="10">
        <v>188</v>
      </c>
      <c r="K287" s="11">
        <f t="shared" si="52"/>
        <v>100.625</v>
      </c>
      <c r="L287" s="11">
        <f t="shared" si="53"/>
        <v>42.375</v>
      </c>
      <c r="M287" s="12">
        <f t="shared" si="54"/>
        <v>0.42111801242236024</v>
      </c>
      <c r="N287" s="11">
        <f t="shared" si="55"/>
        <v>23.5</v>
      </c>
      <c r="O287" s="12">
        <f t="shared" si="56"/>
        <v>0.55457227138643073</v>
      </c>
      <c r="P287" s="12">
        <f t="shared" si="57"/>
        <v>0.23354037267080746</v>
      </c>
      <c r="Q287" s="13">
        <f t="shared" si="59"/>
        <v>42.375</v>
      </c>
      <c r="R287" s="13">
        <f t="shared" si="60"/>
        <v>23.5</v>
      </c>
    </row>
    <row r="288" spans="1:18" ht="15.75" customHeight="1" x14ac:dyDescent="0.3">
      <c r="A288" s="7" t="s">
        <v>204</v>
      </c>
      <c r="B288" s="7" t="s">
        <v>205</v>
      </c>
      <c r="C288" s="24" t="s">
        <v>34</v>
      </c>
      <c r="D288" s="24" t="s">
        <v>35</v>
      </c>
      <c r="E288" s="8">
        <v>46093</v>
      </c>
      <c r="F288" s="8">
        <v>46100</v>
      </c>
      <c r="G288" s="9">
        <f t="shared" si="58"/>
        <v>8</v>
      </c>
      <c r="H288" s="10">
        <v>10</v>
      </c>
      <c r="I288" s="10">
        <v>5</v>
      </c>
      <c r="J288" s="10">
        <v>1</v>
      </c>
      <c r="K288" s="11">
        <f t="shared" si="52"/>
        <v>1.25</v>
      </c>
      <c r="L288" s="11">
        <f t="shared" si="53"/>
        <v>0.625</v>
      </c>
      <c r="M288" s="12">
        <f t="shared" si="54"/>
        <v>0.5</v>
      </c>
      <c r="N288" s="11">
        <f t="shared" si="55"/>
        <v>0.125</v>
      </c>
      <c r="O288" s="12">
        <f t="shared" si="56"/>
        <v>0.2</v>
      </c>
      <c r="P288" s="12">
        <f t="shared" si="57"/>
        <v>0.1</v>
      </c>
      <c r="Q288" s="13">
        <f t="shared" si="59"/>
        <v>0.625</v>
      </c>
      <c r="R288" s="13">
        <f t="shared" si="60"/>
        <v>0.125</v>
      </c>
    </row>
    <row r="289" spans="1:18" ht="15.75" customHeight="1" x14ac:dyDescent="0.3">
      <c r="A289" s="7" t="s">
        <v>204</v>
      </c>
      <c r="B289" s="7" t="s">
        <v>206</v>
      </c>
      <c r="C289" s="24" t="s">
        <v>34</v>
      </c>
      <c r="D289" s="24" t="s">
        <v>35</v>
      </c>
      <c r="E289" s="8">
        <v>46093</v>
      </c>
      <c r="F289" s="8">
        <v>46100</v>
      </c>
      <c r="G289" s="9">
        <f t="shared" si="58"/>
        <v>8</v>
      </c>
      <c r="H289" s="10">
        <v>0</v>
      </c>
      <c r="I289" s="10">
        <v>0</v>
      </c>
      <c r="J289" s="10">
        <v>0</v>
      </c>
      <c r="K289" s="11">
        <f t="shared" si="52"/>
        <v>0</v>
      </c>
      <c r="L289" s="11">
        <f t="shared" si="53"/>
        <v>0</v>
      </c>
      <c r="M289" s="12" t="str">
        <f t="shared" si="54"/>
        <v/>
      </c>
      <c r="N289" s="11">
        <f t="shared" si="55"/>
        <v>0</v>
      </c>
      <c r="O289" s="12" t="str">
        <f t="shared" si="56"/>
        <v/>
      </c>
      <c r="P289" s="12" t="str">
        <f t="shared" si="57"/>
        <v/>
      </c>
      <c r="Q289" s="13" t="str">
        <f t="shared" si="59"/>
        <v/>
      </c>
      <c r="R289" s="13" t="str">
        <f t="shared" si="60"/>
        <v/>
      </c>
    </row>
    <row r="290" spans="1:18" ht="15.75" customHeight="1" x14ac:dyDescent="0.3">
      <c r="A290" s="7" t="s">
        <v>204</v>
      </c>
      <c r="B290" s="7" t="s">
        <v>156</v>
      </c>
      <c r="C290" s="24" t="s">
        <v>34</v>
      </c>
      <c r="D290" s="24" t="s">
        <v>35</v>
      </c>
      <c r="E290" s="8">
        <v>46093</v>
      </c>
      <c r="F290" s="8">
        <v>46100</v>
      </c>
      <c r="G290" s="9">
        <f t="shared" si="58"/>
        <v>8</v>
      </c>
      <c r="H290" s="10">
        <v>919</v>
      </c>
      <c r="I290" s="10">
        <v>317</v>
      </c>
      <c r="J290" s="10">
        <v>169</v>
      </c>
      <c r="K290" s="11">
        <f t="shared" si="52"/>
        <v>114.875</v>
      </c>
      <c r="L290" s="11">
        <f t="shared" si="53"/>
        <v>39.625</v>
      </c>
      <c r="M290" s="12">
        <f t="shared" si="54"/>
        <v>0.34494015233949943</v>
      </c>
      <c r="N290" s="11">
        <f t="shared" si="55"/>
        <v>21.125</v>
      </c>
      <c r="O290" s="12">
        <f t="shared" si="56"/>
        <v>0.53312302839116721</v>
      </c>
      <c r="P290" s="12">
        <f t="shared" si="57"/>
        <v>0.1838955386289445</v>
      </c>
      <c r="Q290" s="13">
        <f t="shared" si="59"/>
        <v>39.625</v>
      </c>
      <c r="R290" s="13">
        <f t="shared" si="60"/>
        <v>21.125</v>
      </c>
    </row>
    <row r="291" spans="1:18" ht="15.75" customHeight="1" x14ac:dyDescent="0.3">
      <c r="A291" s="7" t="s">
        <v>204</v>
      </c>
      <c r="B291" s="7" t="s">
        <v>81</v>
      </c>
      <c r="C291" s="24" t="s">
        <v>34</v>
      </c>
      <c r="D291" s="24" t="s">
        <v>35</v>
      </c>
      <c r="E291" s="8">
        <v>46093</v>
      </c>
      <c r="F291" s="8">
        <v>46100</v>
      </c>
      <c r="G291" s="9">
        <f t="shared" si="58"/>
        <v>8</v>
      </c>
      <c r="H291" s="10">
        <v>852</v>
      </c>
      <c r="I291" s="10">
        <v>287</v>
      </c>
      <c r="J291" s="10">
        <v>179</v>
      </c>
      <c r="K291" s="11">
        <f t="shared" si="52"/>
        <v>106.5</v>
      </c>
      <c r="L291" s="11">
        <f t="shared" si="53"/>
        <v>35.875</v>
      </c>
      <c r="M291" s="12">
        <f t="shared" si="54"/>
        <v>0.33685446009389669</v>
      </c>
      <c r="N291" s="11">
        <f t="shared" si="55"/>
        <v>22.375</v>
      </c>
      <c r="O291" s="12">
        <f t="shared" si="56"/>
        <v>0.62369337979094075</v>
      </c>
      <c r="P291" s="12">
        <f t="shared" si="57"/>
        <v>0.21009389671361503</v>
      </c>
      <c r="Q291" s="13">
        <f t="shared" si="59"/>
        <v>35.875</v>
      </c>
      <c r="R291" s="13">
        <f t="shared" si="60"/>
        <v>22.375</v>
      </c>
    </row>
    <row r="292" spans="1:18" ht="15.75" customHeight="1" x14ac:dyDescent="0.3">
      <c r="A292" s="7" t="s">
        <v>204</v>
      </c>
      <c r="B292" s="7" t="s">
        <v>82</v>
      </c>
      <c r="C292" s="24" t="s">
        <v>34</v>
      </c>
      <c r="D292" s="24" t="s">
        <v>35</v>
      </c>
      <c r="E292" s="8">
        <v>46093</v>
      </c>
      <c r="F292" s="8">
        <v>46100</v>
      </c>
      <c r="G292" s="9">
        <f t="shared" si="58"/>
        <v>8</v>
      </c>
      <c r="H292" s="10">
        <v>4</v>
      </c>
      <c r="I292" s="10">
        <v>2</v>
      </c>
      <c r="J292" s="10">
        <v>0</v>
      </c>
      <c r="K292" s="11">
        <f t="shared" si="52"/>
        <v>0.5</v>
      </c>
      <c r="L292" s="11">
        <f t="shared" si="53"/>
        <v>0.25</v>
      </c>
      <c r="M292" s="12">
        <f t="shared" si="54"/>
        <v>0.5</v>
      </c>
      <c r="N292" s="11">
        <f t="shared" si="55"/>
        <v>0</v>
      </c>
      <c r="O292" s="12">
        <f t="shared" si="56"/>
        <v>0</v>
      </c>
      <c r="P292" s="12">
        <f t="shared" si="57"/>
        <v>0</v>
      </c>
      <c r="Q292" s="13">
        <f t="shared" ref="Q292:Q308" si="61">IFERROR((I292/H292)*K292,"")</f>
        <v>0.25</v>
      </c>
      <c r="R292" s="13">
        <f t="shared" ref="R292:R308" si="62">IFERROR((J292/H292)*K292,"")</f>
        <v>0</v>
      </c>
    </row>
    <row r="293" spans="1:18" ht="15.75" customHeight="1" x14ac:dyDescent="0.3">
      <c r="A293" s="7" t="s">
        <v>204</v>
      </c>
      <c r="B293" s="7" t="s">
        <v>207</v>
      </c>
      <c r="C293" s="24" t="s">
        <v>34</v>
      </c>
      <c r="D293" s="24" t="s">
        <v>35</v>
      </c>
      <c r="E293" s="8">
        <v>46093</v>
      </c>
      <c r="F293" s="8">
        <v>46100</v>
      </c>
      <c r="G293" s="9">
        <f t="shared" si="58"/>
        <v>8</v>
      </c>
      <c r="H293" s="10">
        <v>60</v>
      </c>
      <c r="I293" s="10">
        <v>15</v>
      </c>
      <c r="J293" s="10">
        <v>8</v>
      </c>
      <c r="K293" s="11">
        <f t="shared" si="52"/>
        <v>7.5</v>
      </c>
      <c r="L293" s="11">
        <f t="shared" si="53"/>
        <v>1.875</v>
      </c>
      <c r="M293" s="12">
        <f t="shared" si="54"/>
        <v>0.25</v>
      </c>
      <c r="N293" s="11">
        <f t="shared" si="55"/>
        <v>1</v>
      </c>
      <c r="O293" s="12">
        <f t="shared" si="56"/>
        <v>0.53333333333333333</v>
      </c>
      <c r="P293" s="12">
        <f t="shared" si="57"/>
        <v>0.13333333333333333</v>
      </c>
      <c r="Q293" s="13">
        <f t="shared" si="61"/>
        <v>1.875</v>
      </c>
      <c r="R293" s="13">
        <f t="shared" si="62"/>
        <v>1</v>
      </c>
    </row>
    <row r="294" spans="1:18" ht="15.75" customHeight="1" x14ac:dyDescent="0.3">
      <c r="A294" s="7" t="s">
        <v>204</v>
      </c>
      <c r="B294" s="7" t="s">
        <v>86</v>
      </c>
      <c r="C294" s="24" t="s">
        <v>58</v>
      </c>
      <c r="D294" s="24" t="s">
        <v>64</v>
      </c>
      <c r="E294" s="8">
        <v>46093</v>
      </c>
      <c r="F294" s="8">
        <v>46100</v>
      </c>
      <c r="G294" s="9">
        <f t="shared" si="58"/>
        <v>8</v>
      </c>
      <c r="H294" s="10">
        <v>23</v>
      </c>
      <c r="I294" s="10">
        <v>17</v>
      </c>
      <c r="J294" s="10">
        <v>9</v>
      </c>
      <c r="K294" s="11">
        <f t="shared" si="52"/>
        <v>2.875</v>
      </c>
      <c r="L294" s="11">
        <f t="shared" si="53"/>
        <v>2.125</v>
      </c>
      <c r="M294" s="12">
        <f t="shared" si="54"/>
        <v>0.73913043478260865</v>
      </c>
      <c r="N294" s="11">
        <f t="shared" si="55"/>
        <v>1.125</v>
      </c>
      <c r="O294" s="12">
        <f t="shared" si="56"/>
        <v>0.52941176470588236</v>
      </c>
      <c r="P294" s="12">
        <f t="shared" si="57"/>
        <v>0.39130434782608697</v>
      </c>
      <c r="Q294" s="13">
        <f t="shared" si="61"/>
        <v>2.125</v>
      </c>
      <c r="R294" s="13">
        <f t="shared" si="62"/>
        <v>1.125</v>
      </c>
    </row>
    <row r="295" spans="1:18" ht="15.75" customHeight="1" x14ac:dyDescent="0.3">
      <c r="A295" s="7" t="s">
        <v>204</v>
      </c>
      <c r="B295" s="7" t="s">
        <v>63</v>
      </c>
      <c r="C295" s="24" t="s">
        <v>58</v>
      </c>
      <c r="D295" s="24" t="s">
        <v>64</v>
      </c>
      <c r="E295" s="8">
        <v>46093</v>
      </c>
      <c r="F295" s="8">
        <v>46100</v>
      </c>
      <c r="G295" s="9">
        <f t="shared" si="58"/>
        <v>8</v>
      </c>
      <c r="H295" s="10">
        <v>73</v>
      </c>
      <c r="I295" s="10">
        <v>29</v>
      </c>
      <c r="J295" s="10">
        <v>19</v>
      </c>
      <c r="K295" s="11">
        <f t="shared" si="52"/>
        <v>9.125</v>
      </c>
      <c r="L295" s="11">
        <f t="shared" si="53"/>
        <v>3.625</v>
      </c>
      <c r="M295" s="12">
        <f t="shared" si="54"/>
        <v>0.39726027397260272</v>
      </c>
      <c r="N295" s="11">
        <f t="shared" si="55"/>
        <v>2.375</v>
      </c>
      <c r="O295" s="12">
        <f t="shared" si="56"/>
        <v>0.65517241379310343</v>
      </c>
      <c r="P295" s="12">
        <f t="shared" si="57"/>
        <v>0.26027397260273971</v>
      </c>
      <c r="Q295" s="13">
        <f t="shared" si="61"/>
        <v>3.625</v>
      </c>
      <c r="R295" s="13">
        <f t="shared" si="62"/>
        <v>2.375</v>
      </c>
    </row>
    <row r="296" spans="1:18" ht="15.75" customHeight="1" x14ac:dyDescent="0.3">
      <c r="A296" s="7" t="s">
        <v>204</v>
      </c>
      <c r="B296" s="7" t="s">
        <v>37</v>
      </c>
      <c r="C296" s="24" t="s">
        <v>34</v>
      </c>
      <c r="D296" s="24" t="s">
        <v>35</v>
      </c>
      <c r="E296" s="8">
        <v>46093</v>
      </c>
      <c r="F296" s="8">
        <v>46100</v>
      </c>
      <c r="G296" s="9">
        <f t="shared" si="58"/>
        <v>8</v>
      </c>
      <c r="H296" s="10">
        <v>74</v>
      </c>
      <c r="I296" s="10">
        <v>24</v>
      </c>
      <c r="J296" s="10">
        <v>14</v>
      </c>
      <c r="K296" s="11">
        <f t="shared" si="52"/>
        <v>9.25</v>
      </c>
      <c r="L296" s="11">
        <f t="shared" si="53"/>
        <v>3</v>
      </c>
      <c r="M296" s="12">
        <f t="shared" si="54"/>
        <v>0.32432432432432434</v>
      </c>
      <c r="N296" s="11">
        <f t="shared" si="55"/>
        <v>1.75</v>
      </c>
      <c r="O296" s="12">
        <f t="shared" si="56"/>
        <v>0.58333333333333337</v>
      </c>
      <c r="P296" s="12">
        <f t="shared" si="57"/>
        <v>0.1891891891891892</v>
      </c>
      <c r="Q296" s="13">
        <f t="shared" si="61"/>
        <v>3</v>
      </c>
      <c r="R296" s="13">
        <f t="shared" si="62"/>
        <v>1.75</v>
      </c>
    </row>
    <row r="297" spans="1:18" ht="15.75" customHeight="1" x14ac:dyDescent="0.3">
      <c r="A297" s="7" t="s">
        <v>204</v>
      </c>
      <c r="B297" s="7" t="s">
        <v>181</v>
      </c>
      <c r="C297" s="24" t="s">
        <v>34</v>
      </c>
      <c r="D297" s="24" t="s">
        <v>91</v>
      </c>
      <c r="E297" s="8">
        <v>46093</v>
      </c>
      <c r="F297" s="8">
        <v>46100</v>
      </c>
      <c r="G297" s="9">
        <f t="shared" si="58"/>
        <v>8</v>
      </c>
      <c r="H297" s="10">
        <v>59</v>
      </c>
      <c r="I297" s="10">
        <v>21</v>
      </c>
      <c r="J297" s="10">
        <v>10</v>
      </c>
      <c r="K297" s="11">
        <f t="shared" si="52"/>
        <v>7.375</v>
      </c>
      <c r="L297" s="11">
        <f t="shared" si="53"/>
        <v>2.625</v>
      </c>
      <c r="M297" s="12">
        <f t="shared" si="54"/>
        <v>0.3559322033898305</v>
      </c>
      <c r="N297" s="11">
        <f t="shared" si="55"/>
        <v>1.25</v>
      </c>
      <c r="O297" s="12">
        <f t="shared" si="56"/>
        <v>0.47619047619047616</v>
      </c>
      <c r="P297" s="12">
        <f t="shared" si="57"/>
        <v>0.16949152542372881</v>
      </c>
      <c r="Q297" s="13">
        <f t="shared" si="61"/>
        <v>2.625</v>
      </c>
      <c r="R297" s="13">
        <f t="shared" si="62"/>
        <v>1.25</v>
      </c>
    </row>
    <row r="298" spans="1:18" ht="15.75" customHeight="1" x14ac:dyDescent="0.3">
      <c r="A298" s="7" t="s">
        <v>204</v>
      </c>
      <c r="B298" s="7" t="s">
        <v>38</v>
      </c>
      <c r="C298" s="24" t="s">
        <v>34</v>
      </c>
      <c r="D298" s="24" t="s">
        <v>39</v>
      </c>
      <c r="E298" s="8">
        <v>46093</v>
      </c>
      <c r="F298" s="8">
        <v>46100</v>
      </c>
      <c r="G298" s="9">
        <f t="shared" si="58"/>
        <v>8</v>
      </c>
      <c r="H298" s="10">
        <v>305</v>
      </c>
      <c r="I298" s="10">
        <v>40</v>
      </c>
      <c r="J298" s="10">
        <v>29</v>
      </c>
      <c r="K298" s="11">
        <f t="shared" si="52"/>
        <v>38.125</v>
      </c>
      <c r="L298" s="11">
        <f t="shared" si="53"/>
        <v>5</v>
      </c>
      <c r="M298" s="12">
        <f t="shared" si="54"/>
        <v>0.13114754098360656</v>
      </c>
      <c r="N298" s="11">
        <f t="shared" si="55"/>
        <v>3.625</v>
      </c>
      <c r="O298" s="12">
        <f t="shared" si="56"/>
        <v>0.72499999999999998</v>
      </c>
      <c r="P298" s="12">
        <f t="shared" si="57"/>
        <v>9.5081967213114751E-2</v>
      </c>
      <c r="Q298" s="13">
        <f t="shared" si="61"/>
        <v>5</v>
      </c>
      <c r="R298" s="13">
        <f t="shared" si="62"/>
        <v>3.625</v>
      </c>
    </row>
    <row r="299" spans="1:18" ht="15.75" customHeight="1" x14ac:dyDescent="0.3">
      <c r="A299" s="7" t="s">
        <v>204</v>
      </c>
      <c r="B299" s="7" t="s">
        <v>40</v>
      </c>
      <c r="C299" s="24" t="s">
        <v>34</v>
      </c>
      <c r="D299" s="24" t="s">
        <v>39</v>
      </c>
      <c r="E299" s="8">
        <v>46093</v>
      </c>
      <c r="F299" s="8">
        <v>46100</v>
      </c>
      <c r="G299" s="9">
        <f t="shared" si="58"/>
        <v>8</v>
      </c>
      <c r="H299" s="10">
        <v>13</v>
      </c>
      <c r="I299" s="10">
        <v>1</v>
      </c>
      <c r="J299" s="10">
        <v>1</v>
      </c>
      <c r="K299" s="11">
        <f t="shared" si="52"/>
        <v>1.625</v>
      </c>
      <c r="L299" s="11">
        <f t="shared" si="53"/>
        <v>0.125</v>
      </c>
      <c r="M299" s="12">
        <f t="shared" si="54"/>
        <v>7.6923076923076927E-2</v>
      </c>
      <c r="N299" s="11">
        <f t="shared" si="55"/>
        <v>0.125</v>
      </c>
      <c r="O299" s="12">
        <f t="shared" si="56"/>
        <v>1</v>
      </c>
      <c r="P299" s="12">
        <f t="shared" si="57"/>
        <v>7.6923076923076927E-2</v>
      </c>
      <c r="Q299" s="13">
        <f t="shared" si="61"/>
        <v>0.125</v>
      </c>
      <c r="R299" s="13">
        <f t="shared" si="62"/>
        <v>0.125</v>
      </c>
    </row>
    <row r="300" spans="1:18" ht="15.75" customHeight="1" x14ac:dyDescent="0.3">
      <c r="A300" s="7" t="s">
        <v>204</v>
      </c>
      <c r="B300" s="7" t="s">
        <v>182</v>
      </c>
      <c r="C300" s="24" t="s">
        <v>34</v>
      </c>
      <c r="D300" s="24" t="s">
        <v>76</v>
      </c>
      <c r="E300" s="8">
        <v>46093</v>
      </c>
      <c r="F300" s="8">
        <v>46100</v>
      </c>
      <c r="G300" s="9">
        <f t="shared" si="58"/>
        <v>8</v>
      </c>
      <c r="H300" s="10">
        <v>72</v>
      </c>
      <c r="I300" s="10">
        <v>7</v>
      </c>
      <c r="J300" s="10">
        <v>4</v>
      </c>
      <c r="K300" s="11">
        <f t="shared" si="52"/>
        <v>9</v>
      </c>
      <c r="L300" s="11">
        <f t="shared" si="53"/>
        <v>0.875</v>
      </c>
      <c r="M300" s="12">
        <f t="shared" si="54"/>
        <v>9.7222222222222224E-2</v>
      </c>
      <c r="N300" s="11">
        <f t="shared" si="55"/>
        <v>0.5</v>
      </c>
      <c r="O300" s="12">
        <f t="shared" si="56"/>
        <v>0.5714285714285714</v>
      </c>
      <c r="P300" s="12">
        <f t="shared" si="57"/>
        <v>5.5555555555555552E-2</v>
      </c>
      <c r="Q300" s="13">
        <f t="shared" si="61"/>
        <v>0.875</v>
      </c>
      <c r="R300" s="13">
        <f t="shared" si="62"/>
        <v>0.5</v>
      </c>
    </row>
    <row r="301" spans="1:18" ht="15.75" customHeight="1" x14ac:dyDescent="0.3">
      <c r="A301" s="7" t="s">
        <v>204</v>
      </c>
      <c r="B301" s="7" t="s">
        <v>183</v>
      </c>
      <c r="C301" s="24" t="s">
        <v>34</v>
      </c>
      <c r="D301" s="24" t="s">
        <v>44</v>
      </c>
      <c r="E301" s="8">
        <v>46093</v>
      </c>
      <c r="F301" s="8">
        <v>46100</v>
      </c>
      <c r="G301" s="9">
        <f t="shared" si="58"/>
        <v>8</v>
      </c>
      <c r="H301" s="10" t="s">
        <v>433</v>
      </c>
      <c r="I301" s="10" t="s">
        <v>433</v>
      </c>
      <c r="J301" s="10" t="s">
        <v>433</v>
      </c>
      <c r="K301" s="11" t="str">
        <f t="shared" si="52"/>
        <v/>
      </c>
      <c r="L301" s="11" t="str">
        <f t="shared" si="53"/>
        <v/>
      </c>
      <c r="M301" s="12" t="str">
        <f t="shared" si="54"/>
        <v/>
      </c>
      <c r="N301" s="11" t="str">
        <f t="shared" si="55"/>
        <v/>
      </c>
      <c r="O301" s="12" t="str">
        <f t="shared" si="56"/>
        <v/>
      </c>
      <c r="P301" s="12" t="str">
        <f t="shared" si="57"/>
        <v/>
      </c>
      <c r="Q301" s="13" t="str">
        <f t="shared" si="61"/>
        <v/>
      </c>
      <c r="R301" s="13" t="str">
        <f t="shared" si="62"/>
        <v/>
      </c>
    </row>
    <row r="302" spans="1:18" ht="15.75" customHeight="1" x14ac:dyDescent="0.3">
      <c r="A302" s="7" t="s">
        <v>204</v>
      </c>
      <c r="B302" s="7" t="s">
        <v>184</v>
      </c>
      <c r="C302" s="24" t="s">
        <v>47</v>
      </c>
      <c r="D302" s="24" t="s">
        <v>48</v>
      </c>
      <c r="E302" s="8">
        <v>46093</v>
      </c>
      <c r="F302" s="8">
        <v>46100</v>
      </c>
      <c r="G302" s="9">
        <f t="shared" si="58"/>
        <v>8</v>
      </c>
      <c r="H302" s="10">
        <v>646</v>
      </c>
      <c r="I302" s="10">
        <v>212</v>
      </c>
      <c r="J302" s="10">
        <v>164</v>
      </c>
      <c r="K302" s="11">
        <f t="shared" si="52"/>
        <v>80.75</v>
      </c>
      <c r="L302" s="11">
        <f t="shared" si="53"/>
        <v>26.5</v>
      </c>
      <c r="M302" s="12">
        <f t="shared" si="54"/>
        <v>0.32817337461300311</v>
      </c>
      <c r="N302" s="11">
        <f t="shared" si="55"/>
        <v>20.5</v>
      </c>
      <c r="O302" s="12">
        <f t="shared" si="56"/>
        <v>0.77358490566037741</v>
      </c>
      <c r="P302" s="12">
        <f t="shared" si="57"/>
        <v>0.25386996904024767</v>
      </c>
      <c r="Q302" s="13">
        <f t="shared" si="61"/>
        <v>26.5</v>
      </c>
      <c r="R302" s="13">
        <f t="shared" si="62"/>
        <v>20.5</v>
      </c>
    </row>
    <row r="303" spans="1:18" ht="15.75" customHeight="1" x14ac:dyDescent="0.3">
      <c r="A303" s="7" t="s">
        <v>204</v>
      </c>
      <c r="B303" s="7" t="s">
        <v>185</v>
      </c>
      <c r="C303" s="24" t="s">
        <v>47</v>
      </c>
      <c r="D303" s="24" t="s">
        <v>48</v>
      </c>
      <c r="E303" s="8">
        <v>46093</v>
      </c>
      <c r="F303" s="8">
        <v>46100</v>
      </c>
      <c r="G303" s="9">
        <f t="shared" si="58"/>
        <v>8</v>
      </c>
      <c r="H303" s="10">
        <v>32</v>
      </c>
      <c r="I303" s="10">
        <v>13</v>
      </c>
      <c r="J303" s="10">
        <v>7</v>
      </c>
      <c r="K303" s="11">
        <f t="shared" si="52"/>
        <v>4</v>
      </c>
      <c r="L303" s="11">
        <f t="shared" si="53"/>
        <v>1.625</v>
      </c>
      <c r="M303" s="12">
        <f t="shared" si="54"/>
        <v>0.40625</v>
      </c>
      <c r="N303" s="11">
        <f t="shared" si="55"/>
        <v>0.875</v>
      </c>
      <c r="O303" s="12">
        <f t="shared" si="56"/>
        <v>0.53846153846153844</v>
      </c>
      <c r="P303" s="12">
        <f t="shared" si="57"/>
        <v>0.21875</v>
      </c>
      <c r="Q303" s="13">
        <f t="shared" si="61"/>
        <v>1.625</v>
      </c>
      <c r="R303" s="13">
        <f t="shared" si="62"/>
        <v>0.875</v>
      </c>
    </row>
    <row r="304" spans="1:18" ht="15.75" customHeight="1" x14ac:dyDescent="0.3">
      <c r="A304" s="7" t="s">
        <v>204</v>
      </c>
      <c r="B304" s="7" t="s">
        <v>186</v>
      </c>
      <c r="C304" s="24" t="s">
        <v>47</v>
      </c>
      <c r="D304" s="24" t="s">
        <v>48</v>
      </c>
      <c r="E304" s="8">
        <v>46093</v>
      </c>
      <c r="F304" s="8">
        <v>46100</v>
      </c>
      <c r="G304" s="9">
        <f t="shared" si="58"/>
        <v>8</v>
      </c>
      <c r="H304" s="10">
        <v>681</v>
      </c>
      <c r="I304" s="10">
        <v>243</v>
      </c>
      <c r="J304" s="10">
        <v>182</v>
      </c>
      <c r="K304" s="11">
        <f t="shared" si="52"/>
        <v>85.125</v>
      </c>
      <c r="L304" s="11">
        <f t="shared" si="53"/>
        <v>30.375</v>
      </c>
      <c r="M304" s="12">
        <f t="shared" si="54"/>
        <v>0.35682819383259912</v>
      </c>
      <c r="N304" s="11">
        <f t="shared" si="55"/>
        <v>22.75</v>
      </c>
      <c r="O304" s="12">
        <f t="shared" si="56"/>
        <v>0.74897119341563789</v>
      </c>
      <c r="P304" s="12">
        <f t="shared" si="57"/>
        <v>0.26725403817914833</v>
      </c>
      <c r="Q304" s="13">
        <f t="shared" si="61"/>
        <v>30.375</v>
      </c>
      <c r="R304" s="13">
        <f t="shared" si="62"/>
        <v>22.750000000000004</v>
      </c>
    </row>
    <row r="305" spans="1:18" ht="15.75" customHeight="1" x14ac:dyDescent="0.3">
      <c r="A305" s="7" t="s">
        <v>204</v>
      </c>
      <c r="B305" s="7" t="s">
        <v>187</v>
      </c>
      <c r="C305" s="24" t="s">
        <v>47</v>
      </c>
      <c r="D305" s="24" t="s">
        <v>48</v>
      </c>
      <c r="E305" s="8">
        <v>46093</v>
      </c>
      <c r="F305" s="8">
        <v>46100</v>
      </c>
      <c r="G305" s="9">
        <f t="shared" si="58"/>
        <v>8</v>
      </c>
      <c r="H305" s="10">
        <v>36</v>
      </c>
      <c r="I305" s="10">
        <v>9</v>
      </c>
      <c r="J305" s="10">
        <v>5</v>
      </c>
      <c r="K305" s="11">
        <f t="shared" si="52"/>
        <v>4.5</v>
      </c>
      <c r="L305" s="11">
        <f t="shared" si="53"/>
        <v>1.125</v>
      </c>
      <c r="M305" s="12">
        <f t="shared" si="54"/>
        <v>0.25</v>
      </c>
      <c r="N305" s="11">
        <f t="shared" si="55"/>
        <v>0.625</v>
      </c>
      <c r="O305" s="12">
        <f t="shared" si="56"/>
        <v>0.55555555555555558</v>
      </c>
      <c r="P305" s="12">
        <f t="shared" si="57"/>
        <v>0.1388888888888889</v>
      </c>
      <c r="Q305" s="13">
        <f t="shared" si="61"/>
        <v>1.125</v>
      </c>
      <c r="R305" s="13">
        <f t="shared" si="62"/>
        <v>0.625</v>
      </c>
    </row>
    <row r="306" spans="1:18" ht="15.75" customHeight="1" x14ac:dyDescent="0.3">
      <c r="A306" s="7" t="s">
        <v>204</v>
      </c>
      <c r="B306" s="7" t="s">
        <v>188</v>
      </c>
      <c r="C306" s="24" t="s">
        <v>34</v>
      </c>
      <c r="D306" s="24" t="s">
        <v>53</v>
      </c>
      <c r="E306" s="8">
        <v>46093</v>
      </c>
      <c r="F306" s="8">
        <v>46100</v>
      </c>
      <c r="G306" s="9">
        <f t="shared" si="58"/>
        <v>8</v>
      </c>
      <c r="H306" s="10">
        <v>107</v>
      </c>
      <c r="I306" s="10">
        <v>34</v>
      </c>
      <c r="J306" s="10">
        <v>23</v>
      </c>
      <c r="K306" s="11">
        <f t="shared" si="52"/>
        <v>13.375</v>
      </c>
      <c r="L306" s="11">
        <f t="shared" si="53"/>
        <v>4.25</v>
      </c>
      <c r="M306" s="12">
        <f t="shared" si="54"/>
        <v>0.31775700934579437</v>
      </c>
      <c r="N306" s="11">
        <f t="shared" si="55"/>
        <v>2.875</v>
      </c>
      <c r="O306" s="12">
        <f t="shared" si="56"/>
        <v>0.67647058823529416</v>
      </c>
      <c r="P306" s="12">
        <f t="shared" si="57"/>
        <v>0.21495327102803738</v>
      </c>
      <c r="Q306" s="13">
        <f t="shared" si="61"/>
        <v>4.25</v>
      </c>
      <c r="R306" s="13">
        <f t="shared" si="62"/>
        <v>2.875</v>
      </c>
    </row>
    <row r="307" spans="1:18" ht="15.75" customHeight="1" x14ac:dyDescent="0.3">
      <c r="A307" s="7" t="s">
        <v>204</v>
      </c>
      <c r="B307" s="7" t="s">
        <v>52</v>
      </c>
      <c r="C307" s="24" t="s">
        <v>47</v>
      </c>
      <c r="D307" s="24" t="s">
        <v>53</v>
      </c>
      <c r="E307" s="8">
        <v>46093</v>
      </c>
      <c r="F307" s="8">
        <v>46100</v>
      </c>
      <c r="G307" s="9">
        <f t="shared" si="58"/>
        <v>8</v>
      </c>
      <c r="H307" s="10">
        <v>395</v>
      </c>
      <c r="I307" s="10">
        <v>137</v>
      </c>
      <c r="J307" s="10">
        <v>94</v>
      </c>
      <c r="K307" s="11">
        <f t="shared" si="52"/>
        <v>49.375</v>
      </c>
      <c r="L307" s="11">
        <f t="shared" si="53"/>
        <v>17.125</v>
      </c>
      <c r="M307" s="12">
        <f t="shared" si="54"/>
        <v>0.3468354430379747</v>
      </c>
      <c r="N307" s="11">
        <f t="shared" si="55"/>
        <v>11.75</v>
      </c>
      <c r="O307" s="12">
        <f t="shared" si="56"/>
        <v>0.68613138686131392</v>
      </c>
      <c r="P307" s="12">
        <f t="shared" si="57"/>
        <v>0.23797468354430379</v>
      </c>
      <c r="Q307" s="13">
        <f t="shared" si="61"/>
        <v>17.125</v>
      </c>
      <c r="R307" s="13">
        <f t="shared" si="62"/>
        <v>11.75</v>
      </c>
    </row>
    <row r="308" spans="1:18" ht="15.75" customHeight="1" x14ac:dyDescent="0.3">
      <c r="A308" s="7" t="s">
        <v>204</v>
      </c>
      <c r="B308" s="7" t="s">
        <v>55</v>
      </c>
      <c r="C308" s="24" t="s">
        <v>47</v>
      </c>
      <c r="D308" s="24" t="s">
        <v>56</v>
      </c>
      <c r="E308" s="8">
        <v>46093</v>
      </c>
      <c r="F308" s="8">
        <v>46100</v>
      </c>
      <c r="G308" s="9">
        <f t="shared" si="58"/>
        <v>8</v>
      </c>
      <c r="H308" s="10">
        <v>163</v>
      </c>
      <c r="I308" s="10">
        <v>62</v>
      </c>
      <c r="J308" s="10">
        <v>49</v>
      </c>
      <c r="K308" s="11">
        <f t="shared" si="52"/>
        <v>20.375</v>
      </c>
      <c r="L308" s="11">
        <f t="shared" si="53"/>
        <v>7.75</v>
      </c>
      <c r="M308" s="12">
        <f t="shared" si="54"/>
        <v>0.38036809815950923</v>
      </c>
      <c r="N308" s="11">
        <f t="shared" si="55"/>
        <v>6.125</v>
      </c>
      <c r="O308" s="12">
        <f t="shared" si="56"/>
        <v>0.79032258064516125</v>
      </c>
      <c r="P308" s="12">
        <f t="shared" si="57"/>
        <v>0.30061349693251532</v>
      </c>
      <c r="Q308" s="13">
        <f t="shared" si="61"/>
        <v>7.7500000000000009</v>
      </c>
      <c r="R308" s="13">
        <f t="shared" si="62"/>
        <v>6.125</v>
      </c>
    </row>
    <row r="309" spans="1:18" ht="15.75" customHeight="1" x14ac:dyDescent="0.3">
      <c r="A309" s="7" t="s">
        <v>204</v>
      </c>
      <c r="B309" s="7" t="s">
        <v>189</v>
      </c>
      <c r="C309" s="24" t="s">
        <v>47</v>
      </c>
      <c r="D309" s="24" t="s">
        <v>56</v>
      </c>
      <c r="E309" s="8">
        <v>46093</v>
      </c>
      <c r="F309" s="8">
        <v>46100</v>
      </c>
      <c r="G309" s="9">
        <f t="shared" si="58"/>
        <v>8</v>
      </c>
      <c r="H309" s="10" t="s">
        <v>433</v>
      </c>
      <c r="I309" s="10" t="s">
        <v>433</v>
      </c>
      <c r="J309" s="10" t="s">
        <v>433</v>
      </c>
      <c r="K309" s="11" t="str">
        <f t="shared" si="52"/>
        <v/>
      </c>
      <c r="L309" s="11" t="str">
        <f t="shared" si="53"/>
        <v/>
      </c>
      <c r="M309" s="12" t="str">
        <f t="shared" si="54"/>
        <v/>
      </c>
      <c r="N309" s="11" t="str">
        <f t="shared" si="55"/>
        <v/>
      </c>
      <c r="O309" s="12" t="str">
        <f t="shared" si="56"/>
        <v/>
      </c>
      <c r="P309" s="12" t="str">
        <f t="shared" si="57"/>
        <v/>
      </c>
    </row>
    <row r="310" spans="1:18" ht="15.75" customHeight="1" x14ac:dyDescent="0.3">
      <c r="A310" s="7" t="s">
        <v>204</v>
      </c>
      <c r="B310" s="7" t="s">
        <v>146</v>
      </c>
      <c r="C310" s="24" t="s">
        <v>443</v>
      </c>
      <c r="D310" s="24" t="s">
        <v>147</v>
      </c>
      <c r="E310" s="8">
        <v>46093</v>
      </c>
      <c r="F310" s="8">
        <v>46100</v>
      </c>
      <c r="G310" s="9">
        <f t="shared" si="58"/>
        <v>8</v>
      </c>
      <c r="H310" s="10">
        <v>288</v>
      </c>
      <c r="I310" s="10">
        <v>51</v>
      </c>
      <c r="J310" s="10">
        <v>36</v>
      </c>
      <c r="K310" s="11">
        <f t="shared" si="52"/>
        <v>36</v>
      </c>
      <c r="L310" s="11">
        <f t="shared" si="53"/>
        <v>6.375</v>
      </c>
      <c r="M310" s="12">
        <f t="shared" si="54"/>
        <v>0.17708333333333334</v>
      </c>
      <c r="N310" s="11">
        <f t="shared" si="55"/>
        <v>4.5</v>
      </c>
      <c r="O310" s="12">
        <f t="shared" si="56"/>
        <v>0.70588235294117652</v>
      </c>
      <c r="P310" s="12">
        <f t="shared" si="57"/>
        <v>0.125</v>
      </c>
      <c r="Q310" s="13">
        <f t="shared" ref="Q310:Q341" si="63">IFERROR((I310/H310)*K310,"")</f>
        <v>6.375</v>
      </c>
      <c r="R310" s="13">
        <f t="shared" ref="R310:R341" si="64">IFERROR((J310/H310)*K310,"")</f>
        <v>4.5</v>
      </c>
    </row>
    <row r="311" spans="1:18" ht="15.75" customHeight="1" x14ac:dyDescent="0.3">
      <c r="A311" s="7" t="s">
        <v>204</v>
      </c>
      <c r="B311" s="7" t="s">
        <v>190</v>
      </c>
      <c r="C311" s="24" t="s">
        <v>47</v>
      </c>
      <c r="D311" s="24" t="s">
        <v>56</v>
      </c>
      <c r="E311" s="8">
        <v>46093</v>
      </c>
      <c r="F311" s="8">
        <v>46100</v>
      </c>
      <c r="G311" s="9">
        <f t="shared" si="58"/>
        <v>8</v>
      </c>
      <c r="H311" s="10">
        <v>1</v>
      </c>
      <c r="I311" s="10">
        <v>1</v>
      </c>
      <c r="J311" s="10">
        <v>1</v>
      </c>
      <c r="K311" s="11">
        <f t="shared" si="52"/>
        <v>0.125</v>
      </c>
      <c r="L311" s="11">
        <f t="shared" si="53"/>
        <v>0.125</v>
      </c>
      <c r="M311" s="12">
        <f t="shared" si="54"/>
        <v>1</v>
      </c>
      <c r="N311" s="11">
        <f t="shared" si="55"/>
        <v>0.125</v>
      </c>
      <c r="O311" s="12">
        <f t="shared" si="56"/>
        <v>1</v>
      </c>
      <c r="P311" s="12">
        <f t="shared" si="57"/>
        <v>1</v>
      </c>
      <c r="Q311" s="13">
        <f t="shared" si="63"/>
        <v>0.125</v>
      </c>
      <c r="R311" s="13">
        <f t="shared" si="64"/>
        <v>0.125</v>
      </c>
    </row>
    <row r="312" spans="1:18" ht="15.75" customHeight="1" x14ac:dyDescent="0.3">
      <c r="A312" s="7" t="s">
        <v>204</v>
      </c>
      <c r="B312" s="7" t="s">
        <v>123</v>
      </c>
      <c r="C312" s="24" t="s">
        <v>58</v>
      </c>
      <c r="D312" s="24" t="s">
        <v>124</v>
      </c>
      <c r="E312" s="8">
        <v>46093</v>
      </c>
      <c r="F312" s="8">
        <v>46100</v>
      </c>
      <c r="G312" s="9">
        <f t="shared" si="58"/>
        <v>8</v>
      </c>
      <c r="H312" s="10">
        <v>8</v>
      </c>
      <c r="I312" s="10">
        <v>2</v>
      </c>
      <c r="J312" s="10">
        <v>1</v>
      </c>
      <c r="K312" s="11">
        <f t="shared" si="52"/>
        <v>1</v>
      </c>
      <c r="L312" s="11">
        <f t="shared" si="53"/>
        <v>0.25</v>
      </c>
      <c r="M312" s="12">
        <f t="shared" si="54"/>
        <v>0.25</v>
      </c>
      <c r="N312" s="11">
        <f t="shared" si="55"/>
        <v>0.125</v>
      </c>
      <c r="O312" s="12">
        <f t="shared" si="56"/>
        <v>0.5</v>
      </c>
      <c r="P312" s="12">
        <f t="shared" si="57"/>
        <v>0.125</v>
      </c>
      <c r="Q312" s="13">
        <f t="shared" si="63"/>
        <v>0.25</v>
      </c>
      <c r="R312" s="13">
        <f t="shared" si="64"/>
        <v>0.125</v>
      </c>
    </row>
    <row r="313" spans="1:18" ht="15.75" customHeight="1" x14ac:dyDescent="0.3">
      <c r="A313" s="7" t="s">
        <v>204</v>
      </c>
      <c r="B313" s="7" t="s">
        <v>191</v>
      </c>
      <c r="C313" s="24" t="s">
        <v>58</v>
      </c>
      <c r="D313" s="24" t="s">
        <v>61</v>
      </c>
      <c r="E313" s="8">
        <v>46093</v>
      </c>
      <c r="F313" s="8">
        <v>46100</v>
      </c>
      <c r="G313" s="9">
        <f t="shared" si="58"/>
        <v>8</v>
      </c>
      <c r="H313" s="10">
        <v>299</v>
      </c>
      <c r="I313" s="10">
        <v>68</v>
      </c>
      <c r="J313" s="10">
        <v>45</v>
      </c>
      <c r="K313" s="11">
        <f t="shared" si="52"/>
        <v>37.375</v>
      </c>
      <c r="L313" s="11">
        <f t="shared" si="53"/>
        <v>8.5</v>
      </c>
      <c r="M313" s="12">
        <f t="shared" si="54"/>
        <v>0.22742474916387959</v>
      </c>
      <c r="N313" s="11">
        <f t="shared" si="55"/>
        <v>5.625</v>
      </c>
      <c r="O313" s="12">
        <f t="shared" si="56"/>
        <v>0.66176470588235292</v>
      </c>
      <c r="P313" s="12">
        <f t="shared" si="57"/>
        <v>0.15050167224080269</v>
      </c>
      <c r="Q313" s="13">
        <f t="shared" si="63"/>
        <v>8.5</v>
      </c>
      <c r="R313" s="13">
        <f t="shared" si="64"/>
        <v>5.625</v>
      </c>
    </row>
    <row r="314" spans="1:18" ht="15.75" customHeight="1" x14ac:dyDescent="0.3">
      <c r="A314" s="7" t="s">
        <v>204</v>
      </c>
      <c r="B314" s="7" t="s">
        <v>192</v>
      </c>
      <c r="C314" s="24" t="s">
        <v>58</v>
      </c>
      <c r="D314" s="24" t="s">
        <v>193</v>
      </c>
      <c r="E314" s="8">
        <v>46093</v>
      </c>
      <c r="F314" s="8">
        <v>46100</v>
      </c>
      <c r="G314" s="9">
        <f t="shared" si="58"/>
        <v>8</v>
      </c>
      <c r="H314" s="10">
        <v>18</v>
      </c>
      <c r="I314" s="10">
        <v>5</v>
      </c>
      <c r="J314" s="10">
        <v>4</v>
      </c>
      <c r="K314" s="11">
        <f t="shared" si="52"/>
        <v>2.25</v>
      </c>
      <c r="L314" s="11">
        <f t="shared" si="53"/>
        <v>0.625</v>
      </c>
      <c r="M314" s="12">
        <f t="shared" si="54"/>
        <v>0.27777777777777779</v>
      </c>
      <c r="N314" s="11">
        <f t="shared" si="55"/>
        <v>0.5</v>
      </c>
      <c r="O314" s="12">
        <f t="shared" si="56"/>
        <v>0.8</v>
      </c>
      <c r="P314" s="12">
        <f t="shared" si="57"/>
        <v>0.22222222222222221</v>
      </c>
      <c r="Q314" s="13">
        <f t="shared" si="63"/>
        <v>0.625</v>
      </c>
      <c r="R314" s="13">
        <f t="shared" si="64"/>
        <v>0.5</v>
      </c>
    </row>
    <row r="315" spans="1:18" ht="15.75" customHeight="1" x14ac:dyDescent="0.3">
      <c r="A315" s="7" t="s">
        <v>204</v>
      </c>
      <c r="B315" s="7" t="s">
        <v>194</v>
      </c>
      <c r="C315" s="24" t="s">
        <v>58</v>
      </c>
      <c r="D315" s="24" t="s">
        <v>103</v>
      </c>
      <c r="E315" s="8">
        <v>46093</v>
      </c>
      <c r="F315" s="8">
        <v>46100</v>
      </c>
      <c r="G315" s="9">
        <f t="shared" si="58"/>
        <v>8</v>
      </c>
      <c r="H315" s="10">
        <v>193</v>
      </c>
      <c r="I315" s="10">
        <v>39</v>
      </c>
      <c r="J315" s="10">
        <v>28</v>
      </c>
      <c r="K315" s="11">
        <f t="shared" si="52"/>
        <v>24.125</v>
      </c>
      <c r="L315" s="11">
        <f t="shared" si="53"/>
        <v>4.875</v>
      </c>
      <c r="M315" s="12">
        <f t="shared" si="54"/>
        <v>0.20207253886010362</v>
      </c>
      <c r="N315" s="11">
        <f t="shared" si="55"/>
        <v>3.5</v>
      </c>
      <c r="O315" s="12">
        <f t="shared" si="56"/>
        <v>0.71794871794871795</v>
      </c>
      <c r="P315" s="12">
        <f t="shared" si="57"/>
        <v>0.14507772020725387</v>
      </c>
      <c r="Q315" s="13">
        <f t="shared" si="63"/>
        <v>4.875</v>
      </c>
      <c r="R315" s="13">
        <f t="shared" si="64"/>
        <v>3.4999999999999996</v>
      </c>
    </row>
    <row r="316" spans="1:18" ht="15.75" customHeight="1" x14ac:dyDescent="0.3">
      <c r="A316" s="7" t="s">
        <v>204</v>
      </c>
      <c r="B316" s="7" t="s">
        <v>243</v>
      </c>
      <c r="C316" s="24" t="s">
        <v>58</v>
      </c>
      <c r="D316" s="24" t="s">
        <v>193</v>
      </c>
      <c r="E316" s="8">
        <v>46093</v>
      </c>
      <c r="F316" s="8">
        <v>46100</v>
      </c>
      <c r="G316" s="9">
        <f t="shared" si="58"/>
        <v>8</v>
      </c>
      <c r="H316" s="10" t="s">
        <v>433</v>
      </c>
      <c r="I316" s="10" t="s">
        <v>433</v>
      </c>
      <c r="J316" s="10" t="s">
        <v>433</v>
      </c>
      <c r="K316" s="11" t="str">
        <f t="shared" si="52"/>
        <v/>
      </c>
      <c r="L316" s="11" t="str">
        <f t="shared" si="53"/>
        <v/>
      </c>
      <c r="M316" s="12" t="str">
        <f t="shared" si="54"/>
        <v/>
      </c>
      <c r="N316" s="11" t="str">
        <f t="shared" si="55"/>
        <v/>
      </c>
      <c r="O316" s="12" t="str">
        <f t="shared" si="56"/>
        <v/>
      </c>
      <c r="P316" s="12" t="str">
        <f t="shared" si="57"/>
        <v/>
      </c>
      <c r="Q316" s="13" t="str">
        <f t="shared" si="63"/>
        <v/>
      </c>
      <c r="R316" s="13" t="str">
        <f t="shared" si="64"/>
        <v/>
      </c>
    </row>
    <row r="317" spans="1:18" ht="15.75" customHeight="1" x14ac:dyDescent="0.3">
      <c r="A317" s="7" t="s">
        <v>204</v>
      </c>
      <c r="B317" s="7" t="s">
        <v>195</v>
      </c>
      <c r="C317" s="24" t="s">
        <v>58</v>
      </c>
      <c r="D317" s="24" t="s">
        <v>444</v>
      </c>
      <c r="E317" s="8">
        <v>46093</v>
      </c>
      <c r="F317" s="8">
        <v>46100</v>
      </c>
      <c r="G317" s="9">
        <f t="shared" si="58"/>
        <v>8</v>
      </c>
      <c r="H317" s="10">
        <v>224</v>
      </c>
      <c r="I317" s="10">
        <v>87</v>
      </c>
      <c r="J317" s="10">
        <v>56</v>
      </c>
      <c r="K317" s="11">
        <f t="shared" si="52"/>
        <v>28</v>
      </c>
      <c r="L317" s="11">
        <f t="shared" si="53"/>
        <v>10.875</v>
      </c>
      <c r="M317" s="12">
        <f t="shared" si="54"/>
        <v>0.38839285714285715</v>
      </c>
      <c r="N317" s="11">
        <f t="shared" si="55"/>
        <v>7</v>
      </c>
      <c r="O317" s="12">
        <f t="shared" si="56"/>
        <v>0.64367816091954022</v>
      </c>
      <c r="P317" s="12">
        <f t="shared" si="57"/>
        <v>0.25</v>
      </c>
      <c r="Q317" s="13">
        <f t="shared" si="63"/>
        <v>10.875</v>
      </c>
      <c r="R317" s="13">
        <f t="shared" si="64"/>
        <v>7</v>
      </c>
    </row>
    <row r="318" spans="1:18" ht="15.75" customHeight="1" x14ac:dyDescent="0.3">
      <c r="A318" s="7" t="s">
        <v>204</v>
      </c>
      <c r="B318" s="7" t="s">
        <v>196</v>
      </c>
      <c r="C318" s="24" t="s">
        <v>58</v>
      </c>
      <c r="D318" s="24" t="s">
        <v>66</v>
      </c>
      <c r="E318" s="8">
        <v>46093</v>
      </c>
      <c r="F318" s="8">
        <v>46100</v>
      </c>
      <c r="G318" s="9">
        <f t="shared" si="58"/>
        <v>8</v>
      </c>
      <c r="H318" s="10">
        <v>269</v>
      </c>
      <c r="I318" s="10">
        <v>80</v>
      </c>
      <c r="J318" s="10">
        <v>39</v>
      </c>
      <c r="K318" s="11">
        <f t="shared" si="52"/>
        <v>33.625</v>
      </c>
      <c r="L318" s="11">
        <f t="shared" si="53"/>
        <v>10</v>
      </c>
      <c r="M318" s="12">
        <f t="shared" si="54"/>
        <v>0.29739776951672864</v>
      </c>
      <c r="N318" s="11">
        <f t="shared" si="55"/>
        <v>4.875</v>
      </c>
      <c r="O318" s="12">
        <f t="shared" si="56"/>
        <v>0.48749999999999999</v>
      </c>
      <c r="P318" s="12">
        <f t="shared" si="57"/>
        <v>0.1449814126394052</v>
      </c>
      <c r="Q318" s="13">
        <f t="shared" si="63"/>
        <v>10</v>
      </c>
      <c r="R318" s="13">
        <f t="shared" si="64"/>
        <v>4.875</v>
      </c>
    </row>
    <row r="319" spans="1:18" ht="15.75" customHeight="1" x14ac:dyDescent="0.3">
      <c r="A319" s="7" t="s">
        <v>204</v>
      </c>
      <c r="B319" s="7" t="s">
        <v>197</v>
      </c>
      <c r="C319" s="24" t="s">
        <v>58</v>
      </c>
      <c r="D319" s="24" t="s">
        <v>68</v>
      </c>
      <c r="E319" s="8">
        <v>46093</v>
      </c>
      <c r="F319" s="8">
        <v>46100</v>
      </c>
      <c r="G319" s="9">
        <f t="shared" si="58"/>
        <v>8</v>
      </c>
      <c r="H319" s="10">
        <v>15</v>
      </c>
      <c r="I319" s="10">
        <v>7</v>
      </c>
      <c r="J319" s="10">
        <v>5</v>
      </c>
      <c r="K319" s="11">
        <f t="shared" si="52"/>
        <v>1.875</v>
      </c>
      <c r="L319" s="11">
        <f t="shared" si="53"/>
        <v>0.875</v>
      </c>
      <c r="M319" s="12">
        <f t="shared" si="54"/>
        <v>0.46666666666666667</v>
      </c>
      <c r="N319" s="11">
        <f t="shared" si="55"/>
        <v>0.625</v>
      </c>
      <c r="O319" s="12">
        <f t="shared" si="56"/>
        <v>0.7142857142857143</v>
      </c>
      <c r="P319" s="12">
        <f t="shared" si="57"/>
        <v>0.33333333333333331</v>
      </c>
      <c r="Q319" s="13">
        <f t="shared" si="63"/>
        <v>0.875</v>
      </c>
      <c r="R319" s="13">
        <f t="shared" si="64"/>
        <v>0.625</v>
      </c>
    </row>
    <row r="320" spans="1:18" ht="15.75" customHeight="1" x14ac:dyDescent="0.3">
      <c r="A320" s="7" t="s">
        <v>204</v>
      </c>
      <c r="B320" s="7" t="s">
        <v>198</v>
      </c>
      <c r="C320" s="24" t="s">
        <v>58</v>
      </c>
      <c r="D320" s="24" t="s">
        <v>66</v>
      </c>
      <c r="E320" s="8">
        <v>46093</v>
      </c>
      <c r="F320" s="8">
        <v>46100</v>
      </c>
      <c r="G320" s="9">
        <f t="shared" si="58"/>
        <v>8</v>
      </c>
      <c r="H320" s="10">
        <v>240</v>
      </c>
      <c r="I320" s="10">
        <v>56</v>
      </c>
      <c r="J320" s="10">
        <v>30</v>
      </c>
      <c r="K320" s="11">
        <f t="shared" si="52"/>
        <v>30</v>
      </c>
      <c r="L320" s="11">
        <f t="shared" si="53"/>
        <v>7</v>
      </c>
      <c r="M320" s="12">
        <f t="shared" si="54"/>
        <v>0.23333333333333334</v>
      </c>
      <c r="N320" s="11">
        <f t="shared" si="55"/>
        <v>3.75</v>
      </c>
      <c r="O320" s="12">
        <f t="shared" si="56"/>
        <v>0.5357142857142857</v>
      </c>
      <c r="P320" s="12">
        <f t="shared" si="57"/>
        <v>0.125</v>
      </c>
      <c r="Q320" s="13">
        <f t="shared" si="63"/>
        <v>7</v>
      </c>
      <c r="R320" s="13">
        <f t="shared" si="64"/>
        <v>3.75</v>
      </c>
    </row>
    <row r="321" spans="1:18" ht="15.75" customHeight="1" x14ac:dyDescent="0.3">
      <c r="A321" s="7" t="s">
        <v>204</v>
      </c>
      <c r="B321" s="7" t="s">
        <v>199</v>
      </c>
      <c r="C321" s="24" t="s">
        <v>58</v>
      </c>
      <c r="D321" s="24" t="s">
        <v>68</v>
      </c>
      <c r="E321" s="8">
        <v>46093</v>
      </c>
      <c r="F321" s="8">
        <v>46100</v>
      </c>
      <c r="G321" s="9">
        <f t="shared" si="58"/>
        <v>8</v>
      </c>
      <c r="H321" s="10">
        <v>38</v>
      </c>
      <c r="I321" s="10">
        <v>18</v>
      </c>
      <c r="J321" s="10">
        <v>12</v>
      </c>
      <c r="K321" s="11">
        <f t="shared" si="52"/>
        <v>4.75</v>
      </c>
      <c r="L321" s="11">
        <f t="shared" si="53"/>
        <v>2.25</v>
      </c>
      <c r="M321" s="12">
        <f t="shared" si="54"/>
        <v>0.47368421052631576</v>
      </c>
      <c r="N321" s="11">
        <f t="shared" si="55"/>
        <v>1.5</v>
      </c>
      <c r="O321" s="12">
        <f t="shared" si="56"/>
        <v>0.66666666666666663</v>
      </c>
      <c r="P321" s="12">
        <f t="shared" si="57"/>
        <v>0.31578947368421051</v>
      </c>
      <c r="Q321" s="13">
        <f t="shared" si="63"/>
        <v>2.25</v>
      </c>
      <c r="R321" s="13">
        <f t="shared" si="64"/>
        <v>1.5</v>
      </c>
    </row>
    <row r="322" spans="1:18" ht="15.75" customHeight="1" x14ac:dyDescent="0.3">
      <c r="A322" s="7" t="s">
        <v>204</v>
      </c>
      <c r="B322" s="7" t="s">
        <v>200</v>
      </c>
      <c r="C322" s="24" t="s">
        <v>58</v>
      </c>
      <c r="D322" s="24" t="s">
        <v>66</v>
      </c>
      <c r="E322" s="8">
        <v>46093</v>
      </c>
      <c r="F322" s="8">
        <v>46100</v>
      </c>
      <c r="G322" s="9">
        <f t="shared" si="58"/>
        <v>8</v>
      </c>
      <c r="H322" s="10">
        <v>122</v>
      </c>
      <c r="I322" s="10">
        <v>35</v>
      </c>
      <c r="J322" s="10">
        <v>22</v>
      </c>
      <c r="K322" s="11">
        <f t="shared" si="52"/>
        <v>15.25</v>
      </c>
      <c r="L322" s="11">
        <f t="shared" si="53"/>
        <v>4.375</v>
      </c>
      <c r="M322" s="12">
        <f t="shared" si="54"/>
        <v>0.28688524590163933</v>
      </c>
      <c r="N322" s="11">
        <f t="shared" si="55"/>
        <v>2.75</v>
      </c>
      <c r="O322" s="12">
        <f t="shared" si="56"/>
        <v>0.62857142857142856</v>
      </c>
      <c r="P322" s="12">
        <f t="shared" si="57"/>
        <v>0.18032786885245902</v>
      </c>
      <c r="Q322" s="13">
        <f t="shared" si="63"/>
        <v>4.375</v>
      </c>
      <c r="R322" s="13">
        <f t="shared" si="64"/>
        <v>2.75</v>
      </c>
    </row>
    <row r="323" spans="1:18" ht="15.75" customHeight="1" x14ac:dyDescent="0.3">
      <c r="A323" s="7" t="s">
        <v>204</v>
      </c>
      <c r="B323" s="7" t="s">
        <v>201</v>
      </c>
      <c r="C323" s="24" t="s">
        <v>58</v>
      </c>
      <c r="D323" s="24" t="s">
        <v>68</v>
      </c>
      <c r="E323" s="8">
        <v>46093</v>
      </c>
      <c r="F323" s="8">
        <v>46100</v>
      </c>
      <c r="G323" s="9">
        <f t="shared" si="58"/>
        <v>8</v>
      </c>
      <c r="H323" s="10">
        <v>34</v>
      </c>
      <c r="I323" s="10">
        <v>10</v>
      </c>
      <c r="J323" s="10">
        <v>10</v>
      </c>
      <c r="K323" s="11">
        <f t="shared" ref="K323:K373" si="65">IFERROR(H323/G323,"")</f>
        <v>4.25</v>
      </c>
      <c r="L323" s="11">
        <f t="shared" ref="L323:L373" si="66">IFERROR(I323/G323,"")</f>
        <v>1.25</v>
      </c>
      <c r="M323" s="12">
        <f t="shared" ref="M323:M373" si="67">IFERROR(I323/H323,"")</f>
        <v>0.29411764705882354</v>
      </c>
      <c r="N323" s="11">
        <f t="shared" ref="N323:N373" si="68">IFERROR(J323/G323,"")</f>
        <v>1.25</v>
      </c>
      <c r="O323" s="12">
        <f t="shared" ref="O323:O373" si="69">IFERROR(J323/I323,"")</f>
        <v>1</v>
      </c>
      <c r="P323" s="12">
        <f t="shared" ref="P323:P373" si="70">IFERROR(J323/H323,"")</f>
        <v>0.29411764705882354</v>
      </c>
      <c r="Q323" s="13">
        <f t="shared" si="63"/>
        <v>1.25</v>
      </c>
      <c r="R323" s="13">
        <f t="shared" si="64"/>
        <v>1.25</v>
      </c>
    </row>
    <row r="324" spans="1:18" ht="15.75" customHeight="1" x14ac:dyDescent="0.3">
      <c r="A324" s="7" t="s">
        <v>204</v>
      </c>
      <c r="B324" s="7" t="s">
        <v>131</v>
      </c>
      <c r="C324" s="24" t="s">
        <v>58</v>
      </c>
      <c r="D324" s="24" t="s">
        <v>74</v>
      </c>
      <c r="E324" s="8">
        <v>46093</v>
      </c>
      <c r="F324" s="8">
        <v>46100</v>
      </c>
      <c r="G324" s="9">
        <f t="shared" ref="G324:G373" si="71">F324-E324+1</f>
        <v>8</v>
      </c>
      <c r="H324" s="10">
        <v>120</v>
      </c>
      <c r="I324" s="10">
        <v>53</v>
      </c>
      <c r="J324" s="10">
        <v>27</v>
      </c>
      <c r="K324" s="11">
        <f t="shared" si="65"/>
        <v>15</v>
      </c>
      <c r="L324" s="11">
        <f t="shared" si="66"/>
        <v>6.625</v>
      </c>
      <c r="M324" s="12">
        <f t="shared" si="67"/>
        <v>0.44166666666666665</v>
      </c>
      <c r="N324" s="11">
        <f t="shared" si="68"/>
        <v>3.375</v>
      </c>
      <c r="O324" s="12">
        <f t="shared" si="69"/>
        <v>0.50943396226415094</v>
      </c>
      <c r="P324" s="12">
        <f t="shared" si="70"/>
        <v>0.22500000000000001</v>
      </c>
      <c r="Q324" s="13">
        <f t="shared" si="63"/>
        <v>6.625</v>
      </c>
      <c r="R324" s="13">
        <f t="shared" si="64"/>
        <v>3.375</v>
      </c>
    </row>
    <row r="325" spans="1:18" ht="15.75" customHeight="1" x14ac:dyDescent="0.3">
      <c r="A325" s="7" t="s">
        <v>204</v>
      </c>
      <c r="B325" s="7" t="s">
        <v>133</v>
      </c>
      <c r="C325" s="24" t="s">
        <v>58</v>
      </c>
      <c r="D325" s="24" t="s">
        <v>74</v>
      </c>
      <c r="E325" s="8">
        <v>46093</v>
      </c>
      <c r="F325" s="8">
        <v>46100</v>
      </c>
      <c r="G325" s="9">
        <f t="shared" si="71"/>
        <v>8</v>
      </c>
      <c r="H325" s="10">
        <v>71</v>
      </c>
      <c r="I325" s="10">
        <v>31</v>
      </c>
      <c r="J325" s="10">
        <v>21</v>
      </c>
      <c r="K325" s="11">
        <f t="shared" si="65"/>
        <v>8.875</v>
      </c>
      <c r="L325" s="11">
        <f t="shared" si="66"/>
        <v>3.875</v>
      </c>
      <c r="M325" s="12">
        <f t="shared" si="67"/>
        <v>0.43661971830985913</v>
      </c>
      <c r="N325" s="11">
        <f t="shared" si="68"/>
        <v>2.625</v>
      </c>
      <c r="O325" s="12">
        <f t="shared" si="69"/>
        <v>0.67741935483870963</v>
      </c>
      <c r="P325" s="12">
        <f t="shared" si="70"/>
        <v>0.29577464788732394</v>
      </c>
      <c r="Q325" s="13">
        <f t="shared" si="63"/>
        <v>3.8749999999999996</v>
      </c>
      <c r="R325" s="13">
        <f t="shared" si="64"/>
        <v>2.625</v>
      </c>
    </row>
    <row r="326" spans="1:18" ht="15.75" customHeight="1" x14ac:dyDescent="0.3">
      <c r="A326" s="7" t="s">
        <v>204</v>
      </c>
      <c r="B326" s="7" t="s">
        <v>202</v>
      </c>
      <c r="C326" s="24" t="s">
        <v>58</v>
      </c>
      <c r="D326" s="24" t="s">
        <v>59</v>
      </c>
      <c r="E326" s="8">
        <v>46093</v>
      </c>
      <c r="F326" s="8">
        <v>46100</v>
      </c>
      <c r="G326" s="9">
        <f t="shared" si="71"/>
        <v>8</v>
      </c>
      <c r="H326" s="10">
        <v>82</v>
      </c>
      <c r="I326" s="10">
        <v>33</v>
      </c>
      <c r="J326" s="10">
        <v>26</v>
      </c>
      <c r="K326" s="11">
        <f t="shared" si="65"/>
        <v>10.25</v>
      </c>
      <c r="L326" s="11">
        <f t="shared" si="66"/>
        <v>4.125</v>
      </c>
      <c r="M326" s="12">
        <f t="shared" si="67"/>
        <v>0.40243902439024393</v>
      </c>
      <c r="N326" s="11">
        <f t="shared" si="68"/>
        <v>3.25</v>
      </c>
      <c r="O326" s="12">
        <f t="shared" si="69"/>
        <v>0.78787878787878785</v>
      </c>
      <c r="P326" s="12">
        <f t="shared" si="70"/>
        <v>0.31707317073170732</v>
      </c>
      <c r="Q326" s="13">
        <f t="shared" si="63"/>
        <v>4.125</v>
      </c>
      <c r="R326" s="13">
        <f t="shared" si="64"/>
        <v>3.25</v>
      </c>
    </row>
    <row r="327" spans="1:18" ht="15.75" customHeight="1" x14ac:dyDescent="0.3">
      <c r="A327" s="7" t="s">
        <v>204</v>
      </c>
      <c r="B327" s="7" t="s">
        <v>203</v>
      </c>
      <c r="C327" s="24" t="s">
        <v>58</v>
      </c>
      <c r="D327" s="24" t="s">
        <v>59</v>
      </c>
      <c r="E327" s="8">
        <v>46093</v>
      </c>
      <c r="F327" s="8">
        <v>46100</v>
      </c>
      <c r="G327" s="9">
        <f t="shared" si="71"/>
        <v>8</v>
      </c>
      <c r="H327" s="10">
        <v>20</v>
      </c>
      <c r="I327" s="10">
        <v>13</v>
      </c>
      <c r="J327" s="10">
        <v>11</v>
      </c>
      <c r="K327" s="11">
        <f t="shared" si="65"/>
        <v>2.5</v>
      </c>
      <c r="L327" s="11">
        <f t="shared" si="66"/>
        <v>1.625</v>
      </c>
      <c r="M327" s="12">
        <f t="shared" si="67"/>
        <v>0.65</v>
      </c>
      <c r="N327" s="11">
        <f t="shared" si="68"/>
        <v>1.375</v>
      </c>
      <c r="O327" s="12">
        <f t="shared" si="69"/>
        <v>0.84615384615384615</v>
      </c>
      <c r="P327" s="12">
        <f t="shared" si="70"/>
        <v>0.55000000000000004</v>
      </c>
      <c r="Q327" s="13">
        <f t="shared" si="63"/>
        <v>1.625</v>
      </c>
      <c r="R327" s="13">
        <f t="shared" si="64"/>
        <v>1.375</v>
      </c>
    </row>
    <row r="328" spans="1:18" ht="15.75" customHeight="1" x14ac:dyDescent="0.3">
      <c r="A328" s="7" t="s">
        <v>212</v>
      </c>
      <c r="B328" s="7" t="s">
        <v>188</v>
      </c>
      <c r="C328" s="24" t="s">
        <v>34</v>
      </c>
      <c r="D328" s="24" t="s">
        <v>53</v>
      </c>
      <c r="E328" s="8">
        <v>46105</v>
      </c>
      <c r="F328" s="8">
        <v>46112</v>
      </c>
      <c r="G328" s="9">
        <f t="shared" si="71"/>
        <v>8</v>
      </c>
      <c r="H328" s="10">
        <v>192</v>
      </c>
      <c r="I328" s="10">
        <v>79</v>
      </c>
      <c r="J328" s="10">
        <v>54</v>
      </c>
      <c r="K328" s="11">
        <f t="shared" si="65"/>
        <v>24</v>
      </c>
      <c r="L328" s="11">
        <f t="shared" si="66"/>
        <v>9.875</v>
      </c>
      <c r="M328" s="12">
        <f t="shared" si="67"/>
        <v>0.41145833333333331</v>
      </c>
      <c r="N328" s="11">
        <f t="shared" si="68"/>
        <v>6.75</v>
      </c>
      <c r="O328" s="12">
        <f t="shared" si="69"/>
        <v>0.68354430379746833</v>
      </c>
      <c r="P328" s="12">
        <f t="shared" si="70"/>
        <v>0.28125</v>
      </c>
      <c r="Q328" s="13">
        <f t="shared" si="63"/>
        <v>9.875</v>
      </c>
      <c r="R328" s="13">
        <f t="shared" si="64"/>
        <v>6.75</v>
      </c>
    </row>
    <row r="329" spans="1:18" ht="15.75" customHeight="1" x14ac:dyDescent="0.3">
      <c r="A329" s="7" t="s">
        <v>212</v>
      </c>
      <c r="B329" s="7" t="s">
        <v>213</v>
      </c>
      <c r="C329" s="24" t="s">
        <v>47</v>
      </c>
      <c r="D329" s="24" t="s">
        <v>53</v>
      </c>
      <c r="E329" s="8">
        <v>46105</v>
      </c>
      <c r="F329" s="8">
        <v>46112</v>
      </c>
      <c r="G329" s="9">
        <f t="shared" si="71"/>
        <v>8</v>
      </c>
      <c r="H329" s="10">
        <v>7</v>
      </c>
      <c r="I329" s="10">
        <v>1</v>
      </c>
      <c r="J329" s="10">
        <v>1</v>
      </c>
      <c r="K329" s="11">
        <f t="shared" si="65"/>
        <v>0.875</v>
      </c>
      <c r="L329" s="11">
        <f t="shared" si="66"/>
        <v>0.125</v>
      </c>
      <c r="M329" s="12">
        <f t="shared" si="67"/>
        <v>0.14285714285714285</v>
      </c>
      <c r="N329" s="11">
        <f t="shared" si="68"/>
        <v>0.125</v>
      </c>
      <c r="O329" s="12">
        <f t="shared" si="69"/>
        <v>1</v>
      </c>
      <c r="P329" s="12">
        <f t="shared" si="70"/>
        <v>0.14285714285714285</v>
      </c>
      <c r="Q329" s="13">
        <f t="shared" si="63"/>
        <v>0.125</v>
      </c>
      <c r="R329" s="13">
        <f t="shared" si="64"/>
        <v>0.125</v>
      </c>
    </row>
    <row r="330" spans="1:18" ht="15.75" customHeight="1" x14ac:dyDescent="0.3">
      <c r="A330" s="7" t="s">
        <v>212</v>
      </c>
      <c r="B330" s="7" t="s">
        <v>214</v>
      </c>
      <c r="C330" s="24" t="s">
        <v>47</v>
      </c>
      <c r="D330" s="24" t="s">
        <v>53</v>
      </c>
      <c r="E330" s="8">
        <v>46105</v>
      </c>
      <c r="F330" s="8">
        <v>46112</v>
      </c>
      <c r="G330" s="9">
        <f t="shared" si="71"/>
        <v>8</v>
      </c>
      <c r="H330" s="10">
        <v>112</v>
      </c>
      <c r="I330" s="10">
        <v>42</v>
      </c>
      <c r="J330" s="10">
        <v>24</v>
      </c>
      <c r="K330" s="11">
        <f t="shared" si="65"/>
        <v>14</v>
      </c>
      <c r="L330" s="11">
        <f t="shared" si="66"/>
        <v>5.25</v>
      </c>
      <c r="M330" s="12">
        <f t="shared" si="67"/>
        <v>0.375</v>
      </c>
      <c r="N330" s="11">
        <f t="shared" si="68"/>
        <v>3</v>
      </c>
      <c r="O330" s="12">
        <f t="shared" si="69"/>
        <v>0.5714285714285714</v>
      </c>
      <c r="P330" s="12">
        <f t="shared" si="70"/>
        <v>0.21428571428571427</v>
      </c>
      <c r="Q330" s="13">
        <f t="shared" si="63"/>
        <v>5.25</v>
      </c>
      <c r="R330" s="13">
        <f t="shared" si="64"/>
        <v>3</v>
      </c>
    </row>
    <row r="331" spans="1:18" ht="15.75" customHeight="1" x14ac:dyDescent="0.3">
      <c r="A331" s="7" t="s">
        <v>212</v>
      </c>
      <c r="B331" s="7" t="s">
        <v>215</v>
      </c>
      <c r="C331" s="24" t="s">
        <v>47</v>
      </c>
      <c r="D331" s="24" t="s">
        <v>53</v>
      </c>
      <c r="E331" s="8">
        <v>46105</v>
      </c>
      <c r="F331" s="8">
        <v>46112</v>
      </c>
      <c r="G331" s="9">
        <f t="shared" si="71"/>
        <v>8</v>
      </c>
      <c r="H331" s="10">
        <v>7</v>
      </c>
      <c r="I331" s="10">
        <v>4</v>
      </c>
      <c r="J331" s="10">
        <v>3</v>
      </c>
      <c r="K331" s="11">
        <f t="shared" si="65"/>
        <v>0.875</v>
      </c>
      <c r="L331" s="11">
        <f t="shared" si="66"/>
        <v>0.5</v>
      </c>
      <c r="M331" s="12">
        <f t="shared" si="67"/>
        <v>0.5714285714285714</v>
      </c>
      <c r="N331" s="11">
        <f t="shared" si="68"/>
        <v>0.375</v>
      </c>
      <c r="O331" s="12">
        <f t="shared" si="69"/>
        <v>0.75</v>
      </c>
      <c r="P331" s="12">
        <f t="shared" si="70"/>
        <v>0.42857142857142855</v>
      </c>
      <c r="Q331" s="13">
        <f t="shared" si="63"/>
        <v>0.5</v>
      </c>
      <c r="R331" s="13">
        <f t="shared" si="64"/>
        <v>0.375</v>
      </c>
    </row>
    <row r="332" spans="1:18" ht="15.75" customHeight="1" x14ac:dyDescent="0.3">
      <c r="A332" s="7" t="s">
        <v>212</v>
      </c>
      <c r="B332" s="7" t="s">
        <v>145</v>
      </c>
      <c r="C332" s="24" t="s">
        <v>47</v>
      </c>
      <c r="D332" s="24" t="s">
        <v>53</v>
      </c>
      <c r="E332" s="8">
        <v>46105</v>
      </c>
      <c r="F332" s="8">
        <v>46112</v>
      </c>
      <c r="G332" s="9">
        <f t="shared" si="71"/>
        <v>8</v>
      </c>
      <c r="H332" s="10">
        <v>162</v>
      </c>
      <c r="I332" s="10">
        <v>63</v>
      </c>
      <c r="J332" s="10">
        <v>43</v>
      </c>
      <c r="K332" s="11">
        <f t="shared" si="65"/>
        <v>20.25</v>
      </c>
      <c r="L332" s="11">
        <f t="shared" si="66"/>
        <v>7.875</v>
      </c>
      <c r="M332" s="12">
        <f t="shared" si="67"/>
        <v>0.3888888888888889</v>
      </c>
      <c r="N332" s="11">
        <f t="shared" si="68"/>
        <v>5.375</v>
      </c>
      <c r="O332" s="12">
        <f t="shared" si="69"/>
        <v>0.68253968253968256</v>
      </c>
      <c r="P332" s="12">
        <f t="shared" si="70"/>
        <v>0.26543209876543211</v>
      </c>
      <c r="Q332" s="13">
        <f t="shared" si="63"/>
        <v>7.875</v>
      </c>
      <c r="R332" s="13">
        <f t="shared" si="64"/>
        <v>5.375</v>
      </c>
    </row>
    <row r="333" spans="1:18" ht="15.75" customHeight="1" x14ac:dyDescent="0.3">
      <c r="A333" s="7" t="s">
        <v>212</v>
      </c>
      <c r="B333" s="7" t="s">
        <v>97</v>
      </c>
      <c r="C333" s="24" t="s">
        <v>47</v>
      </c>
      <c r="D333" s="24" t="s">
        <v>53</v>
      </c>
      <c r="E333" s="8">
        <v>46105</v>
      </c>
      <c r="F333" s="8">
        <v>46112</v>
      </c>
      <c r="G333" s="9">
        <f t="shared" si="71"/>
        <v>8</v>
      </c>
      <c r="H333" s="10">
        <v>95</v>
      </c>
      <c r="I333" s="10">
        <v>31</v>
      </c>
      <c r="J333" s="10">
        <v>21</v>
      </c>
      <c r="K333" s="11">
        <f t="shared" si="65"/>
        <v>11.875</v>
      </c>
      <c r="L333" s="11">
        <f t="shared" si="66"/>
        <v>3.875</v>
      </c>
      <c r="M333" s="12">
        <f t="shared" si="67"/>
        <v>0.32631578947368423</v>
      </c>
      <c r="N333" s="11">
        <f t="shared" si="68"/>
        <v>2.625</v>
      </c>
      <c r="O333" s="12">
        <f t="shared" si="69"/>
        <v>0.67741935483870963</v>
      </c>
      <c r="P333" s="12">
        <f t="shared" si="70"/>
        <v>0.22105263157894736</v>
      </c>
      <c r="Q333" s="13">
        <f t="shared" si="63"/>
        <v>3.875</v>
      </c>
      <c r="R333" s="13">
        <f t="shared" si="64"/>
        <v>2.625</v>
      </c>
    </row>
    <row r="334" spans="1:18" ht="15.75" customHeight="1" x14ac:dyDescent="0.3">
      <c r="A334" s="7" t="s">
        <v>212</v>
      </c>
      <c r="B334" s="7" t="s">
        <v>52</v>
      </c>
      <c r="C334" s="24" t="s">
        <v>47</v>
      </c>
      <c r="D334" s="24" t="s">
        <v>53</v>
      </c>
      <c r="E334" s="8">
        <v>46105</v>
      </c>
      <c r="F334" s="8">
        <v>46112</v>
      </c>
      <c r="G334" s="9">
        <f t="shared" si="71"/>
        <v>8</v>
      </c>
      <c r="H334" s="10">
        <v>359</v>
      </c>
      <c r="I334" s="10">
        <v>135</v>
      </c>
      <c r="J334" s="10">
        <v>93</v>
      </c>
      <c r="K334" s="11">
        <f t="shared" si="65"/>
        <v>44.875</v>
      </c>
      <c r="L334" s="11">
        <f t="shared" si="66"/>
        <v>16.875</v>
      </c>
      <c r="M334" s="12">
        <f t="shared" si="67"/>
        <v>0.37604456824512533</v>
      </c>
      <c r="N334" s="11">
        <f t="shared" si="68"/>
        <v>11.625</v>
      </c>
      <c r="O334" s="12">
        <f t="shared" si="69"/>
        <v>0.68888888888888888</v>
      </c>
      <c r="P334" s="12">
        <f t="shared" si="70"/>
        <v>0.25905292479108633</v>
      </c>
      <c r="Q334" s="13">
        <f t="shared" si="63"/>
        <v>16.875</v>
      </c>
      <c r="R334" s="13">
        <f t="shared" si="64"/>
        <v>11.624999999999998</v>
      </c>
    </row>
    <row r="335" spans="1:18" ht="15.75" customHeight="1" x14ac:dyDescent="0.3">
      <c r="A335" s="7" t="s">
        <v>212</v>
      </c>
      <c r="B335" s="7" t="s">
        <v>54</v>
      </c>
      <c r="C335" s="24" t="s">
        <v>47</v>
      </c>
      <c r="D335" s="24" t="s">
        <v>53</v>
      </c>
      <c r="E335" s="8">
        <v>46105</v>
      </c>
      <c r="F335" s="8">
        <v>46112</v>
      </c>
      <c r="G335" s="9">
        <f t="shared" si="71"/>
        <v>8</v>
      </c>
      <c r="H335" s="10">
        <v>184</v>
      </c>
      <c r="I335" s="10">
        <v>77</v>
      </c>
      <c r="J335" s="10">
        <v>52</v>
      </c>
      <c r="K335" s="11">
        <f t="shared" si="65"/>
        <v>23</v>
      </c>
      <c r="L335" s="11">
        <f t="shared" si="66"/>
        <v>9.625</v>
      </c>
      <c r="M335" s="12">
        <f t="shared" si="67"/>
        <v>0.41847826086956524</v>
      </c>
      <c r="N335" s="11">
        <f t="shared" si="68"/>
        <v>6.5</v>
      </c>
      <c r="O335" s="12">
        <f t="shared" si="69"/>
        <v>0.67532467532467533</v>
      </c>
      <c r="P335" s="12">
        <f t="shared" si="70"/>
        <v>0.28260869565217389</v>
      </c>
      <c r="Q335" s="13">
        <f t="shared" si="63"/>
        <v>9.625</v>
      </c>
      <c r="R335" s="13">
        <f t="shared" si="64"/>
        <v>6.4999999999999991</v>
      </c>
    </row>
    <row r="336" spans="1:18" ht="15.75" customHeight="1" x14ac:dyDescent="0.3">
      <c r="A336" s="7" t="s">
        <v>212</v>
      </c>
      <c r="B336" s="7" t="s">
        <v>216</v>
      </c>
      <c r="C336" s="24" t="s">
        <v>47</v>
      </c>
      <c r="D336" s="24" t="s">
        <v>53</v>
      </c>
      <c r="E336" s="8">
        <v>46105</v>
      </c>
      <c r="F336" s="8">
        <v>46112</v>
      </c>
      <c r="G336" s="9">
        <f t="shared" si="71"/>
        <v>8</v>
      </c>
      <c r="H336" s="10">
        <v>290</v>
      </c>
      <c r="I336" s="10">
        <v>107</v>
      </c>
      <c r="J336" s="10">
        <v>70</v>
      </c>
      <c r="K336" s="11">
        <f t="shared" si="65"/>
        <v>36.25</v>
      </c>
      <c r="L336" s="11">
        <f t="shared" si="66"/>
        <v>13.375</v>
      </c>
      <c r="M336" s="12">
        <f t="shared" si="67"/>
        <v>0.36896551724137933</v>
      </c>
      <c r="N336" s="11">
        <f t="shared" si="68"/>
        <v>8.75</v>
      </c>
      <c r="O336" s="12">
        <f t="shared" si="69"/>
        <v>0.65420560747663548</v>
      </c>
      <c r="P336" s="12">
        <f t="shared" si="70"/>
        <v>0.2413793103448276</v>
      </c>
      <c r="Q336" s="13">
        <f t="shared" si="63"/>
        <v>13.375</v>
      </c>
      <c r="R336" s="13">
        <f t="shared" si="64"/>
        <v>8.75</v>
      </c>
    </row>
    <row r="337" spans="1:18" ht="15.75" customHeight="1" x14ac:dyDescent="0.3">
      <c r="A337" s="7" t="s">
        <v>212</v>
      </c>
      <c r="B337" s="7" t="s">
        <v>98</v>
      </c>
      <c r="C337" s="24" t="s">
        <v>47</v>
      </c>
      <c r="D337" s="24" t="s">
        <v>53</v>
      </c>
      <c r="E337" s="8">
        <v>46105</v>
      </c>
      <c r="F337" s="8">
        <v>46112</v>
      </c>
      <c r="G337" s="9">
        <f t="shared" si="71"/>
        <v>8</v>
      </c>
      <c r="H337" s="10">
        <v>46</v>
      </c>
      <c r="I337" s="10">
        <v>15</v>
      </c>
      <c r="J337" s="10">
        <v>12</v>
      </c>
      <c r="K337" s="11">
        <f t="shared" si="65"/>
        <v>5.75</v>
      </c>
      <c r="L337" s="11">
        <f t="shared" si="66"/>
        <v>1.875</v>
      </c>
      <c r="M337" s="12">
        <f t="shared" si="67"/>
        <v>0.32608695652173914</v>
      </c>
      <c r="N337" s="11">
        <f t="shared" si="68"/>
        <v>1.5</v>
      </c>
      <c r="O337" s="12">
        <f t="shared" si="69"/>
        <v>0.8</v>
      </c>
      <c r="P337" s="12">
        <f t="shared" si="70"/>
        <v>0.2608695652173913</v>
      </c>
      <c r="Q337" s="13">
        <f t="shared" si="63"/>
        <v>1.875</v>
      </c>
      <c r="R337" s="13">
        <f t="shared" si="64"/>
        <v>1.5</v>
      </c>
    </row>
    <row r="338" spans="1:18" ht="15.75" customHeight="1" x14ac:dyDescent="0.3">
      <c r="A338" s="7" t="s">
        <v>212</v>
      </c>
      <c r="B338" s="7" t="s">
        <v>180</v>
      </c>
      <c r="C338" s="24" t="s">
        <v>58</v>
      </c>
      <c r="D338" s="24" t="s">
        <v>59</v>
      </c>
      <c r="E338" s="8">
        <v>46105</v>
      </c>
      <c r="F338" s="8">
        <v>46112</v>
      </c>
      <c r="G338" s="9">
        <f t="shared" si="71"/>
        <v>8</v>
      </c>
      <c r="H338" s="10">
        <v>345</v>
      </c>
      <c r="I338" s="10">
        <v>130</v>
      </c>
      <c r="J338" s="10">
        <v>101</v>
      </c>
      <c r="K338" s="11">
        <f t="shared" si="65"/>
        <v>43.125</v>
      </c>
      <c r="L338" s="11">
        <f t="shared" si="66"/>
        <v>16.25</v>
      </c>
      <c r="M338" s="12">
        <f t="shared" si="67"/>
        <v>0.37681159420289856</v>
      </c>
      <c r="N338" s="11">
        <f t="shared" si="68"/>
        <v>12.625</v>
      </c>
      <c r="O338" s="12">
        <f t="shared" si="69"/>
        <v>0.77692307692307694</v>
      </c>
      <c r="P338" s="12">
        <f t="shared" si="70"/>
        <v>0.29275362318840581</v>
      </c>
      <c r="Q338" s="13">
        <f t="shared" si="63"/>
        <v>16.25</v>
      </c>
      <c r="R338" s="13">
        <f t="shared" si="64"/>
        <v>12.625</v>
      </c>
    </row>
    <row r="339" spans="1:18" ht="15.75" customHeight="1" x14ac:dyDescent="0.3">
      <c r="A339" s="7" t="s">
        <v>212</v>
      </c>
      <c r="B339" s="7" t="s">
        <v>202</v>
      </c>
      <c r="C339" s="24" t="s">
        <v>58</v>
      </c>
      <c r="D339" s="24" t="s">
        <v>59</v>
      </c>
      <c r="E339" s="8">
        <v>46105</v>
      </c>
      <c r="F339" s="8">
        <v>46112</v>
      </c>
      <c r="G339" s="9">
        <f t="shared" si="71"/>
        <v>8</v>
      </c>
      <c r="H339" s="10">
        <v>178</v>
      </c>
      <c r="I339" s="10">
        <v>60</v>
      </c>
      <c r="J339" s="10">
        <v>49</v>
      </c>
      <c r="K339" s="11">
        <f t="shared" si="65"/>
        <v>22.25</v>
      </c>
      <c r="L339" s="11">
        <f t="shared" si="66"/>
        <v>7.5</v>
      </c>
      <c r="M339" s="12">
        <f t="shared" si="67"/>
        <v>0.33707865168539325</v>
      </c>
      <c r="N339" s="11">
        <f t="shared" si="68"/>
        <v>6.125</v>
      </c>
      <c r="O339" s="12">
        <f t="shared" si="69"/>
        <v>0.81666666666666665</v>
      </c>
      <c r="P339" s="12">
        <f t="shared" si="70"/>
        <v>0.2752808988764045</v>
      </c>
      <c r="Q339" s="13">
        <f t="shared" si="63"/>
        <v>7.5</v>
      </c>
      <c r="R339" s="13">
        <f t="shared" si="64"/>
        <v>6.125</v>
      </c>
    </row>
    <row r="340" spans="1:18" ht="15.75" customHeight="1" x14ac:dyDescent="0.3">
      <c r="A340" s="7" t="s">
        <v>212</v>
      </c>
      <c r="B340" s="7" t="s">
        <v>155</v>
      </c>
      <c r="C340" s="24" t="s">
        <v>58</v>
      </c>
      <c r="D340" s="24" t="s">
        <v>59</v>
      </c>
      <c r="E340" s="8">
        <v>46105</v>
      </c>
      <c r="F340" s="8">
        <v>46112</v>
      </c>
      <c r="G340" s="9">
        <f t="shared" si="71"/>
        <v>8</v>
      </c>
      <c r="H340" s="10">
        <v>33</v>
      </c>
      <c r="I340" s="10">
        <v>14</v>
      </c>
      <c r="J340" s="10">
        <v>8</v>
      </c>
      <c r="K340" s="11">
        <f t="shared" si="65"/>
        <v>4.125</v>
      </c>
      <c r="L340" s="11">
        <f t="shared" si="66"/>
        <v>1.75</v>
      </c>
      <c r="M340" s="12">
        <f t="shared" si="67"/>
        <v>0.42424242424242425</v>
      </c>
      <c r="N340" s="11">
        <f t="shared" si="68"/>
        <v>1</v>
      </c>
      <c r="O340" s="12">
        <f t="shared" si="69"/>
        <v>0.5714285714285714</v>
      </c>
      <c r="P340" s="12">
        <f t="shared" si="70"/>
        <v>0.24242424242424243</v>
      </c>
      <c r="Q340" s="13">
        <f t="shared" si="63"/>
        <v>1.75</v>
      </c>
      <c r="R340" s="13">
        <f t="shared" si="64"/>
        <v>1</v>
      </c>
    </row>
    <row r="341" spans="1:18" ht="15.75" customHeight="1" x14ac:dyDescent="0.3">
      <c r="A341" s="7" t="s">
        <v>212</v>
      </c>
      <c r="B341" s="7" t="s">
        <v>210</v>
      </c>
      <c r="C341" s="24" t="s">
        <v>58</v>
      </c>
      <c r="D341" s="24" t="s">
        <v>59</v>
      </c>
      <c r="E341" s="8">
        <v>46105</v>
      </c>
      <c r="F341" s="8">
        <v>46112</v>
      </c>
      <c r="G341" s="9">
        <f t="shared" si="71"/>
        <v>8</v>
      </c>
      <c r="H341" s="10">
        <v>39</v>
      </c>
      <c r="I341" s="10">
        <v>18</v>
      </c>
      <c r="J341" s="10">
        <v>10</v>
      </c>
      <c r="K341" s="11">
        <f t="shared" si="65"/>
        <v>4.875</v>
      </c>
      <c r="L341" s="11">
        <f t="shared" si="66"/>
        <v>2.25</v>
      </c>
      <c r="M341" s="12">
        <f t="shared" si="67"/>
        <v>0.46153846153846156</v>
      </c>
      <c r="N341" s="11">
        <f t="shared" si="68"/>
        <v>1.25</v>
      </c>
      <c r="O341" s="12">
        <f t="shared" si="69"/>
        <v>0.55555555555555558</v>
      </c>
      <c r="P341" s="12">
        <f t="shared" si="70"/>
        <v>0.25641025641025639</v>
      </c>
      <c r="Q341" s="13">
        <f t="shared" si="63"/>
        <v>2.25</v>
      </c>
      <c r="R341" s="13">
        <f t="shared" si="64"/>
        <v>1.25</v>
      </c>
    </row>
    <row r="342" spans="1:18" ht="15.75" customHeight="1" x14ac:dyDescent="0.3">
      <c r="A342" s="7" t="s">
        <v>212</v>
      </c>
      <c r="B342" s="7" t="s">
        <v>211</v>
      </c>
      <c r="C342" s="24" t="s">
        <v>58</v>
      </c>
      <c r="D342" s="24" t="s">
        <v>59</v>
      </c>
      <c r="E342" s="8">
        <v>46105</v>
      </c>
      <c r="F342" s="8">
        <v>46112</v>
      </c>
      <c r="G342" s="9">
        <f t="shared" si="71"/>
        <v>8</v>
      </c>
      <c r="H342" s="10">
        <v>24</v>
      </c>
      <c r="I342" s="10">
        <v>8</v>
      </c>
      <c r="J342" s="10">
        <v>4</v>
      </c>
      <c r="K342" s="11">
        <f t="shared" si="65"/>
        <v>3</v>
      </c>
      <c r="L342" s="11">
        <f t="shared" si="66"/>
        <v>1</v>
      </c>
      <c r="M342" s="12">
        <f t="shared" si="67"/>
        <v>0.33333333333333331</v>
      </c>
      <c r="N342" s="11">
        <f t="shared" si="68"/>
        <v>0.5</v>
      </c>
      <c r="O342" s="12">
        <f t="shared" si="69"/>
        <v>0.5</v>
      </c>
      <c r="P342" s="12">
        <f t="shared" si="70"/>
        <v>0.16666666666666666</v>
      </c>
    </row>
    <row r="343" spans="1:18" ht="15.75" customHeight="1" x14ac:dyDescent="0.3">
      <c r="A343" s="7" t="s">
        <v>212</v>
      </c>
      <c r="B343" s="7" t="s">
        <v>203</v>
      </c>
      <c r="C343" s="24" t="s">
        <v>58</v>
      </c>
      <c r="D343" s="24" t="s">
        <v>59</v>
      </c>
      <c r="E343" s="8">
        <v>46105</v>
      </c>
      <c r="F343" s="8">
        <v>46112</v>
      </c>
      <c r="G343" s="9">
        <f t="shared" si="71"/>
        <v>8</v>
      </c>
      <c r="H343" s="10">
        <v>66</v>
      </c>
      <c r="I343" s="10">
        <v>25</v>
      </c>
      <c r="J343" s="10">
        <v>20</v>
      </c>
      <c r="K343" s="11">
        <f t="shared" si="65"/>
        <v>8.25</v>
      </c>
      <c r="L343" s="11">
        <f t="shared" si="66"/>
        <v>3.125</v>
      </c>
      <c r="M343" s="12">
        <f t="shared" si="67"/>
        <v>0.37878787878787878</v>
      </c>
      <c r="N343" s="11">
        <f t="shared" si="68"/>
        <v>2.5</v>
      </c>
      <c r="O343" s="12">
        <f t="shared" si="69"/>
        <v>0.8</v>
      </c>
      <c r="P343" s="12">
        <f t="shared" si="70"/>
        <v>0.30303030303030304</v>
      </c>
      <c r="Q343" s="13">
        <f t="shared" ref="Q343:Q373" si="72">IFERROR((I343/H343)*K343,"")</f>
        <v>3.125</v>
      </c>
      <c r="R343" s="13">
        <f t="shared" ref="R343:R373" si="73">IFERROR((J343/H343)*K343,"")</f>
        <v>2.5</v>
      </c>
    </row>
    <row r="344" spans="1:18" ht="15.75" customHeight="1" x14ac:dyDescent="0.3">
      <c r="A344" s="7" t="s">
        <v>212</v>
      </c>
      <c r="B344" s="7" t="s">
        <v>170</v>
      </c>
      <c r="C344" s="24" t="s">
        <v>34</v>
      </c>
      <c r="D344" s="24" t="s">
        <v>35</v>
      </c>
      <c r="E344" s="8">
        <v>46105</v>
      </c>
      <c r="F344" s="8">
        <v>46112</v>
      </c>
      <c r="G344" s="9">
        <f t="shared" si="71"/>
        <v>8</v>
      </c>
      <c r="H344" s="10">
        <v>348</v>
      </c>
      <c r="I344" s="10">
        <v>127</v>
      </c>
      <c r="J344" s="10">
        <v>67</v>
      </c>
      <c r="K344" s="11">
        <f t="shared" si="65"/>
        <v>43.5</v>
      </c>
      <c r="L344" s="11">
        <f t="shared" si="66"/>
        <v>15.875</v>
      </c>
      <c r="M344" s="12">
        <f t="shared" si="67"/>
        <v>0.36494252873563221</v>
      </c>
      <c r="N344" s="11">
        <f t="shared" si="68"/>
        <v>8.375</v>
      </c>
      <c r="O344" s="12">
        <f t="shared" si="69"/>
        <v>0.52755905511811019</v>
      </c>
      <c r="P344" s="12">
        <f t="shared" si="70"/>
        <v>0.19252873563218389</v>
      </c>
      <c r="Q344" s="13">
        <f t="shared" si="72"/>
        <v>15.875000000000002</v>
      </c>
      <c r="R344" s="13">
        <f t="shared" si="73"/>
        <v>8.375</v>
      </c>
    </row>
    <row r="345" spans="1:18" ht="15.75" customHeight="1" x14ac:dyDescent="0.3">
      <c r="A345" s="7" t="s">
        <v>212</v>
      </c>
      <c r="B345" s="7" t="s">
        <v>37</v>
      </c>
      <c r="C345" s="24" t="s">
        <v>34</v>
      </c>
      <c r="D345" s="24" t="s">
        <v>35</v>
      </c>
      <c r="E345" s="8">
        <v>46105</v>
      </c>
      <c r="F345" s="8">
        <v>46112</v>
      </c>
      <c r="G345" s="9">
        <f t="shared" si="71"/>
        <v>8</v>
      </c>
      <c r="H345" s="10">
        <v>116</v>
      </c>
      <c r="I345" s="10">
        <v>53</v>
      </c>
      <c r="J345" s="10">
        <v>23</v>
      </c>
      <c r="K345" s="11">
        <f t="shared" si="65"/>
        <v>14.5</v>
      </c>
      <c r="L345" s="11">
        <f t="shared" si="66"/>
        <v>6.625</v>
      </c>
      <c r="M345" s="12">
        <f t="shared" si="67"/>
        <v>0.45689655172413796</v>
      </c>
      <c r="N345" s="11">
        <f t="shared" si="68"/>
        <v>2.875</v>
      </c>
      <c r="O345" s="12">
        <f t="shared" si="69"/>
        <v>0.43396226415094341</v>
      </c>
      <c r="P345" s="12">
        <f t="shared" si="70"/>
        <v>0.19827586206896552</v>
      </c>
      <c r="Q345" s="13">
        <f t="shared" si="72"/>
        <v>6.625</v>
      </c>
      <c r="R345" s="13">
        <f t="shared" si="73"/>
        <v>2.875</v>
      </c>
    </row>
    <row r="346" spans="1:18" ht="15.75" customHeight="1" x14ac:dyDescent="0.3">
      <c r="A346" s="7" t="s">
        <v>212</v>
      </c>
      <c r="B346" s="7" t="s">
        <v>181</v>
      </c>
      <c r="C346" s="24" t="s">
        <v>34</v>
      </c>
      <c r="D346" s="24" t="s">
        <v>91</v>
      </c>
      <c r="E346" s="8">
        <v>46105</v>
      </c>
      <c r="F346" s="8">
        <v>46112</v>
      </c>
      <c r="G346" s="9">
        <f t="shared" si="71"/>
        <v>8</v>
      </c>
      <c r="H346" s="10">
        <v>45</v>
      </c>
      <c r="I346" s="10">
        <v>21</v>
      </c>
      <c r="J346" s="10">
        <v>11</v>
      </c>
      <c r="K346" s="11">
        <f t="shared" si="65"/>
        <v>5.625</v>
      </c>
      <c r="L346" s="11">
        <f t="shared" si="66"/>
        <v>2.625</v>
      </c>
      <c r="M346" s="12">
        <f t="shared" si="67"/>
        <v>0.46666666666666667</v>
      </c>
      <c r="N346" s="11">
        <f t="shared" si="68"/>
        <v>1.375</v>
      </c>
      <c r="O346" s="12">
        <f t="shared" si="69"/>
        <v>0.52380952380952384</v>
      </c>
      <c r="P346" s="12">
        <f t="shared" si="70"/>
        <v>0.24444444444444444</v>
      </c>
      <c r="Q346" s="13">
        <f t="shared" si="72"/>
        <v>2.625</v>
      </c>
      <c r="R346" s="13">
        <f t="shared" si="73"/>
        <v>1.375</v>
      </c>
    </row>
    <row r="347" spans="1:18" ht="15.75" customHeight="1" x14ac:dyDescent="0.3">
      <c r="A347" s="7" t="s">
        <v>212</v>
      </c>
      <c r="B347" s="7" t="s">
        <v>38</v>
      </c>
      <c r="C347" s="24" t="s">
        <v>34</v>
      </c>
      <c r="D347" s="24" t="s">
        <v>39</v>
      </c>
      <c r="E347" s="8">
        <v>46105</v>
      </c>
      <c r="F347" s="8">
        <v>46112</v>
      </c>
      <c r="G347" s="9">
        <f t="shared" si="71"/>
        <v>8</v>
      </c>
      <c r="H347" s="10">
        <v>219</v>
      </c>
      <c r="I347" s="10">
        <v>31</v>
      </c>
      <c r="J347" s="10">
        <v>16</v>
      </c>
      <c r="K347" s="11">
        <f t="shared" si="65"/>
        <v>27.375</v>
      </c>
      <c r="L347" s="11">
        <f t="shared" si="66"/>
        <v>3.875</v>
      </c>
      <c r="M347" s="12">
        <f t="shared" si="67"/>
        <v>0.14155251141552511</v>
      </c>
      <c r="N347" s="11">
        <f t="shared" si="68"/>
        <v>2</v>
      </c>
      <c r="O347" s="12">
        <f t="shared" si="69"/>
        <v>0.5161290322580645</v>
      </c>
      <c r="P347" s="12">
        <f t="shared" si="70"/>
        <v>7.3059360730593603E-2</v>
      </c>
      <c r="Q347" s="13">
        <f t="shared" si="72"/>
        <v>3.875</v>
      </c>
      <c r="R347" s="13">
        <f t="shared" si="73"/>
        <v>2</v>
      </c>
    </row>
    <row r="348" spans="1:18" ht="15.75" customHeight="1" x14ac:dyDescent="0.3">
      <c r="A348" s="7" t="s">
        <v>212</v>
      </c>
      <c r="B348" s="7" t="s">
        <v>40</v>
      </c>
      <c r="C348" s="24" t="s">
        <v>34</v>
      </c>
      <c r="D348" s="24" t="s">
        <v>39</v>
      </c>
      <c r="E348" s="8">
        <v>46105</v>
      </c>
      <c r="F348" s="8">
        <v>46112</v>
      </c>
      <c r="G348" s="9">
        <f t="shared" si="71"/>
        <v>8</v>
      </c>
      <c r="H348" s="10">
        <v>4</v>
      </c>
      <c r="I348" s="10">
        <v>1</v>
      </c>
      <c r="J348" s="10">
        <v>1</v>
      </c>
      <c r="K348" s="11">
        <f t="shared" si="65"/>
        <v>0.5</v>
      </c>
      <c r="L348" s="11">
        <f t="shared" si="66"/>
        <v>0.125</v>
      </c>
      <c r="M348" s="12">
        <f t="shared" si="67"/>
        <v>0.25</v>
      </c>
      <c r="N348" s="11">
        <f t="shared" si="68"/>
        <v>0.125</v>
      </c>
      <c r="O348" s="12">
        <f t="shared" si="69"/>
        <v>1</v>
      </c>
      <c r="P348" s="12">
        <f t="shared" si="70"/>
        <v>0.25</v>
      </c>
      <c r="Q348" s="13">
        <f t="shared" si="72"/>
        <v>0.125</v>
      </c>
      <c r="R348" s="13">
        <f t="shared" si="73"/>
        <v>0.125</v>
      </c>
    </row>
    <row r="349" spans="1:18" ht="15.75" customHeight="1" x14ac:dyDescent="0.3">
      <c r="A349" s="7" t="s">
        <v>212</v>
      </c>
      <c r="B349" s="7" t="s">
        <v>182</v>
      </c>
      <c r="C349" s="24" t="s">
        <v>34</v>
      </c>
      <c r="D349" s="24" t="s">
        <v>76</v>
      </c>
      <c r="E349" s="8">
        <v>46105</v>
      </c>
      <c r="F349" s="8">
        <v>46112</v>
      </c>
      <c r="G349" s="9">
        <f t="shared" si="71"/>
        <v>8</v>
      </c>
      <c r="H349" s="10">
        <v>54</v>
      </c>
      <c r="I349" s="10">
        <v>14</v>
      </c>
      <c r="J349" s="10">
        <v>13</v>
      </c>
      <c r="K349" s="11">
        <f t="shared" si="65"/>
        <v>6.75</v>
      </c>
      <c r="L349" s="11">
        <f t="shared" si="66"/>
        <v>1.75</v>
      </c>
      <c r="M349" s="12">
        <f t="shared" si="67"/>
        <v>0.25925925925925924</v>
      </c>
      <c r="N349" s="11">
        <f t="shared" si="68"/>
        <v>1.625</v>
      </c>
      <c r="O349" s="12">
        <f t="shared" si="69"/>
        <v>0.9285714285714286</v>
      </c>
      <c r="P349" s="12">
        <f t="shared" si="70"/>
        <v>0.24074074074074073</v>
      </c>
      <c r="Q349" s="13">
        <f t="shared" si="72"/>
        <v>1.75</v>
      </c>
      <c r="R349" s="13">
        <f t="shared" si="73"/>
        <v>1.625</v>
      </c>
    </row>
    <row r="350" spans="1:18" ht="15.75" customHeight="1" x14ac:dyDescent="0.3">
      <c r="A350" s="7" t="s">
        <v>212</v>
      </c>
      <c r="B350" s="7" t="s">
        <v>183</v>
      </c>
      <c r="C350" s="24" t="s">
        <v>34</v>
      </c>
      <c r="D350" s="24" t="s">
        <v>44</v>
      </c>
      <c r="E350" s="8">
        <v>46105</v>
      </c>
      <c r="F350" s="8">
        <v>46112</v>
      </c>
      <c r="G350" s="9">
        <f t="shared" si="71"/>
        <v>8</v>
      </c>
      <c r="H350" s="10" t="s">
        <v>433</v>
      </c>
      <c r="I350" s="10" t="s">
        <v>433</v>
      </c>
      <c r="J350" s="10" t="s">
        <v>433</v>
      </c>
      <c r="K350" s="11" t="str">
        <f t="shared" si="65"/>
        <v/>
      </c>
      <c r="L350" s="11" t="str">
        <f t="shared" si="66"/>
        <v/>
      </c>
      <c r="M350" s="12" t="str">
        <f t="shared" si="67"/>
        <v/>
      </c>
      <c r="N350" s="11" t="str">
        <f t="shared" si="68"/>
        <v/>
      </c>
      <c r="O350" s="12" t="str">
        <f t="shared" si="69"/>
        <v/>
      </c>
      <c r="P350" s="12" t="str">
        <f t="shared" si="70"/>
        <v/>
      </c>
      <c r="Q350" s="13" t="str">
        <f t="shared" si="72"/>
        <v/>
      </c>
      <c r="R350" s="13" t="str">
        <f t="shared" si="73"/>
        <v/>
      </c>
    </row>
    <row r="351" spans="1:18" ht="15.75" customHeight="1" x14ac:dyDescent="0.3">
      <c r="A351" s="7" t="s">
        <v>212</v>
      </c>
      <c r="B351" s="7" t="s">
        <v>184</v>
      </c>
      <c r="C351" s="24" t="s">
        <v>47</v>
      </c>
      <c r="D351" s="24" t="s">
        <v>48</v>
      </c>
      <c r="E351" s="8">
        <v>46105</v>
      </c>
      <c r="F351" s="8">
        <v>46112</v>
      </c>
      <c r="G351" s="9">
        <f t="shared" si="71"/>
        <v>8</v>
      </c>
      <c r="H351" s="10">
        <v>635</v>
      </c>
      <c r="I351" s="10">
        <v>213</v>
      </c>
      <c r="J351" s="10">
        <v>165</v>
      </c>
      <c r="K351" s="11">
        <f t="shared" si="65"/>
        <v>79.375</v>
      </c>
      <c r="L351" s="11">
        <f t="shared" si="66"/>
        <v>26.625</v>
      </c>
      <c r="M351" s="12">
        <f t="shared" si="67"/>
        <v>0.33543307086614171</v>
      </c>
      <c r="N351" s="11">
        <f t="shared" si="68"/>
        <v>20.625</v>
      </c>
      <c r="O351" s="12">
        <f t="shared" si="69"/>
        <v>0.77464788732394363</v>
      </c>
      <c r="P351" s="12">
        <f t="shared" si="70"/>
        <v>0.25984251968503935</v>
      </c>
      <c r="Q351" s="13">
        <f t="shared" si="72"/>
        <v>26.625</v>
      </c>
      <c r="R351" s="13">
        <f t="shared" si="73"/>
        <v>20.625</v>
      </c>
    </row>
    <row r="352" spans="1:18" ht="15.75" customHeight="1" x14ac:dyDescent="0.3">
      <c r="A352" s="7" t="s">
        <v>212</v>
      </c>
      <c r="B352" s="7" t="s">
        <v>185</v>
      </c>
      <c r="C352" s="24" t="s">
        <v>47</v>
      </c>
      <c r="D352" s="24" t="s">
        <v>48</v>
      </c>
      <c r="E352" s="8">
        <v>46105</v>
      </c>
      <c r="F352" s="8">
        <v>46112</v>
      </c>
      <c r="G352" s="9">
        <f t="shared" si="71"/>
        <v>8</v>
      </c>
      <c r="H352" s="10">
        <v>10</v>
      </c>
      <c r="I352" s="10">
        <v>1</v>
      </c>
      <c r="J352" s="10">
        <v>1</v>
      </c>
      <c r="K352" s="11">
        <f t="shared" si="65"/>
        <v>1.25</v>
      </c>
      <c r="L352" s="11">
        <f t="shared" si="66"/>
        <v>0.125</v>
      </c>
      <c r="M352" s="12">
        <f t="shared" si="67"/>
        <v>0.1</v>
      </c>
      <c r="N352" s="11">
        <f t="shared" si="68"/>
        <v>0.125</v>
      </c>
      <c r="O352" s="12">
        <f t="shared" si="69"/>
        <v>1</v>
      </c>
      <c r="P352" s="12">
        <f t="shared" si="70"/>
        <v>0.1</v>
      </c>
      <c r="Q352" s="13">
        <f t="shared" si="72"/>
        <v>0.125</v>
      </c>
      <c r="R352" s="13">
        <f t="shared" si="73"/>
        <v>0.125</v>
      </c>
    </row>
    <row r="353" spans="1:18" ht="15.75" customHeight="1" x14ac:dyDescent="0.3">
      <c r="A353" s="7" t="s">
        <v>212</v>
      </c>
      <c r="B353" s="7" t="s">
        <v>186</v>
      </c>
      <c r="C353" s="24" t="s">
        <v>47</v>
      </c>
      <c r="D353" s="24" t="s">
        <v>48</v>
      </c>
      <c r="E353" s="8">
        <v>46105</v>
      </c>
      <c r="F353" s="8">
        <v>46112</v>
      </c>
      <c r="G353" s="9">
        <f t="shared" si="71"/>
        <v>8</v>
      </c>
      <c r="H353" s="10">
        <v>541</v>
      </c>
      <c r="I353" s="10">
        <v>178</v>
      </c>
      <c r="J353" s="10">
        <v>120</v>
      </c>
      <c r="K353" s="11">
        <f t="shared" si="65"/>
        <v>67.625</v>
      </c>
      <c r="L353" s="11">
        <f t="shared" si="66"/>
        <v>22.25</v>
      </c>
      <c r="M353" s="12">
        <f t="shared" si="67"/>
        <v>0.32902033271719039</v>
      </c>
      <c r="N353" s="11">
        <f t="shared" si="68"/>
        <v>15</v>
      </c>
      <c r="O353" s="12">
        <f t="shared" si="69"/>
        <v>0.6741573033707865</v>
      </c>
      <c r="P353" s="12">
        <f t="shared" si="70"/>
        <v>0.22181146025878004</v>
      </c>
      <c r="Q353" s="13">
        <f t="shared" si="72"/>
        <v>22.25</v>
      </c>
      <c r="R353" s="13">
        <f t="shared" si="73"/>
        <v>15</v>
      </c>
    </row>
    <row r="354" spans="1:18" ht="15.75" customHeight="1" x14ac:dyDescent="0.3">
      <c r="A354" s="7" t="s">
        <v>212</v>
      </c>
      <c r="B354" s="7" t="s">
        <v>187</v>
      </c>
      <c r="C354" s="24" t="s">
        <v>47</v>
      </c>
      <c r="D354" s="24" t="s">
        <v>48</v>
      </c>
      <c r="E354" s="8">
        <v>46105</v>
      </c>
      <c r="F354" s="8">
        <v>46112</v>
      </c>
      <c r="G354" s="9">
        <f t="shared" si="71"/>
        <v>8</v>
      </c>
      <c r="H354" s="10">
        <v>20</v>
      </c>
      <c r="I354" s="10">
        <v>4</v>
      </c>
      <c r="J354" s="10">
        <v>2</v>
      </c>
      <c r="K354" s="11">
        <f t="shared" si="65"/>
        <v>2.5</v>
      </c>
      <c r="L354" s="11">
        <f t="shared" si="66"/>
        <v>0.5</v>
      </c>
      <c r="M354" s="12">
        <f t="shared" si="67"/>
        <v>0.2</v>
      </c>
      <c r="N354" s="11">
        <f t="shared" si="68"/>
        <v>0.25</v>
      </c>
      <c r="O354" s="12">
        <f t="shared" si="69"/>
        <v>0.5</v>
      </c>
      <c r="P354" s="12">
        <f t="shared" si="70"/>
        <v>0.1</v>
      </c>
      <c r="Q354" s="13">
        <f t="shared" si="72"/>
        <v>0.5</v>
      </c>
      <c r="R354" s="13">
        <f t="shared" si="73"/>
        <v>0.25</v>
      </c>
    </row>
    <row r="355" spans="1:18" ht="15.75" customHeight="1" x14ac:dyDescent="0.3">
      <c r="A355" s="7" t="s">
        <v>212</v>
      </c>
      <c r="B355" s="7" t="s">
        <v>55</v>
      </c>
      <c r="C355" s="24" t="s">
        <v>47</v>
      </c>
      <c r="D355" s="24" t="s">
        <v>56</v>
      </c>
      <c r="E355" s="8">
        <v>46105</v>
      </c>
      <c r="F355" s="8">
        <v>46112</v>
      </c>
      <c r="G355" s="9">
        <f t="shared" si="71"/>
        <v>8</v>
      </c>
      <c r="H355" s="10">
        <v>169</v>
      </c>
      <c r="I355" s="10">
        <v>71</v>
      </c>
      <c r="J355" s="10">
        <v>54</v>
      </c>
      <c r="K355" s="11">
        <f t="shared" si="65"/>
        <v>21.125</v>
      </c>
      <c r="L355" s="11">
        <f t="shared" si="66"/>
        <v>8.875</v>
      </c>
      <c r="M355" s="12">
        <f t="shared" si="67"/>
        <v>0.42011834319526625</v>
      </c>
      <c r="N355" s="11">
        <f t="shared" si="68"/>
        <v>6.75</v>
      </c>
      <c r="O355" s="12">
        <f t="shared" si="69"/>
        <v>0.76056338028169013</v>
      </c>
      <c r="P355" s="12">
        <f t="shared" si="70"/>
        <v>0.31952662721893493</v>
      </c>
      <c r="Q355" s="13">
        <f t="shared" si="72"/>
        <v>8.875</v>
      </c>
      <c r="R355" s="13">
        <f t="shared" si="73"/>
        <v>6.7500000000000009</v>
      </c>
    </row>
    <row r="356" spans="1:18" ht="15.75" customHeight="1" x14ac:dyDescent="0.3">
      <c r="A356" s="7" t="s">
        <v>212</v>
      </c>
      <c r="B356" s="7" t="s">
        <v>189</v>
      </c>
      <c r="C356" s="24" t="s">
        <v>47</v>
      </c>
      <c r="D356" s="24" t="s">
        <v>56</v>
      </c>
      <c r="E356" s="8">
        <v>46105</v>
      </c>
      <c r="F356" s="8">
        <v>46112</v>
      </c>
      <c r="G356" s="9">
        <f t="shared" si="71"/>
        <v>8</v>
      </c>
      <c r="H356" s="10" t="s">
        <v>433</v>
      </c>
      <c r="I356" s="10" t="s">
        <v>433</v>
      </c>
      <c r="J356" s="10" t="s">
        <v>433</v>
      </c>
      <c r="K356" s="11" t="str">
        <f t="shared" si="65"/>
        <v/>
      </c>
      <c r="L356" s="11" t="str">
        <f t="shared" si="66"/>
        <v/>
      </c>
      <c r="M356" s="12" t="str">
        <f t="shared" si="67"/>
        <v/>
      </c>
      <c r="N356" s="11" t="str">
        <f t="shared" si="68"/>
        <v/>
      </c>
      <c r="O356" s="12" t="str">
        <f t="shared" si="69"/>
        <v/>
      </c>
      <c r="P356" s="12" t="str">
        <f t="shared" si="70"/>
        <v/>
      </c>
      <c r="Q356" s="13" t="str">
        <f t="shared" si="72"/>
        <v/>
      </c>
      <c r="R356" s="13" t="str">
        <f t="shared" si="73"/>
        <v/>
      </c>
    </row>
    <row r="357" spans="1:18" ht="15.75" customHeight="1" x14ac:dyDescent="0.3">
      <c r="A357" s="7" t="s">
        <v>212</v>
      </c>
      <c r="B357" s="7" t="s">
        <v>146</v>
      </c>
      <c r="C357" s="24" t="s">
        <v>443</v>
      </c>
      <c r="D357" s="24" t="s">
        <v>147</v>
      </c>
      <c r="E357" s="8">
        <v>46105</v>
      </c>
      <c r="F357" s="8">
        <v>46112</v>
      </c>
      <c r="G357" s="9">
        <f t="shared" si="71"/>
        <v>8</v>
      </c>
      <c r="H357" s="10">
        <v>317</v>
      </c>
      <c r="I357" s="10">
        <v>68</v>
      </c>
      <c r="J357" s="10">
        <v>50</v>
      </c>
      <c r="K357" s="11">
        <f t="shared" si="65"/>
        <v>39.625</v>
      </c>
      <c r="L357" s="11">
        <f t="shared" si="66"/>
        <v>8.5</v>
      </c>
      <c r="M357" s="12">
        <f t="shared" si="67"/>
        <v>0.21451104100946372</v>
      </c>
      <c r="N357" s="11">
        <f t="shared" si="68"/>
        <v>6.25</v>
      </c>
      <c r="O357" s="12">
        <f t="shared" si="69"/>
        <v>0.73529411764705888</v>
      </c>
      <c r="P357" s="12">
        <f t="shared" si="70"/>
        <v>0.15772870662460567</v>
      </c>
      <c r="Q357" s="13">
        <f t="shared" si="72"/>
        <v>8.5</v>
      </c>
      <c r="R357" s="13">
        <f t="shared" si="73"/>
        <v>6.25</v>
      </c>
    </row>
    <row r="358" spans="1:18" ht="15.75" customHeight="1" x14ac:dyDescent="0.3">
      <c r="A358" s="7" t="s">
        <v>212</v>
      </c>
      <c r="B358" s="7" t="s">
        <v>190</v>
      </c>
      <c r="C358" s="24" t="s">
        <v>47</v>
      </c>
      <c r="D358" s="24" t="s">
        <v>56</v>
      </c>
      <c r="E358" s="8">
        <v>46105</v>
      </c>
      <c r="F358" s="8">
        <v>46112</v>
      </c>
      <c r="G358" s="9">
        <f t="shared" si="71"/>
        <v>8</v>
      </c>
      <c r="H358" s="10">
        <v>0</v>
      </c>
      <c r="I358" s="10">
        <v>0</v>
      </c>
      <c r="J358" s="10">
        <v>0</v>
      </c>
      <c r="K358" s="11">
        <f t="shared" si="65"/>
        <v>0</v>
      </c>
      <c r="L358" s="11">
        <f t="shared" si="66"/>
        <v>0</v>
      </c>
      <c r="M358" s="12" t="str">
        <f t="shared" si="67"/>
        <v/>
      </c>
      <c r="N358" s="11">
        <f t="shared" si="68"/>
        <v>0</v>
      </c>
      <c r="O358" s="12" t="str">
        <f t="shared" si="69"/>
        <v/>
      </c>
      <c r="P358" s="12" t="str">
        <f t="shared" si="70"/>
        <v/>
      </c>
      <c r="Q358" s="13" t="str">
        <f t="shared" si="72"/>
        <v/>
      </c>
      <c r="R358" s="13" t="str">
        <f t="shared" si="73"/>
        <v/>
      </c>
    </row>
    <row r="359" spans="1:18" ht="15.75" customHeight="1" x14ac:dyDescent="0.3">
      <c r="A359" s="7" t="s">
        <v>212</v>
      </c>
      <c r="B359" s="7" t="s">
        <v>123</v>
      </c>
      <c r="C359" s="24" t="s">
        <v>58</v>
      </c>
      <c r="D359" s="24" t="s">
        <v>124</v>
      </c>
      <c r="E359" s="8">
        <v>46105</v>
      </c>
      <c r="F359" s="8">
        <v>46112</v>
      </c>
      <c r="G359" s="9">
        <f t="shared" si="71"/>
        <v>8</v>
      </c>
      <c r="H359" s="10">
        <v>3</v>
      </c>
      <c r="I359" s="10">
        <v>0</v>
      </c>
      <c r="J359" s="10">
        <v>0</v>
      </c>
      <c r="K359" s="11">
        <f t="shared" si="65"/>
        <v>0.375</v>
      </c>
      <c r="L359" s="11">
        <f t="shared" si="66"/>
        <v>0</v>
      </c>
      <c r="M359" s="12">
        <f t="shared" si="67"/>
        <v>0</v>
      </c>
      <c r="N359" s="11">
        <f t="shared" si="68"/>
        <v>0</v>
      </c>
      <c r="O359" s="12" t="str">
        <f t="shared" si="69"/>
        <v/>
      </c>
      <c r="P359" s="12">
        <f t="shared" si="70"/>
        <v>0</v>
      </c>
      <c r="Q359" s="13">
        <f t="shared" si="72"/>
        <v>0</v>
      </c>
      <c r="R359" s="13">
        <f t="shared" si="73"/>
        <v>0</v>
      </c>
    </row>
    <row r="360" spans="1:18" ht="15.75" customHeight="1" x14ac:dyDescent="0.3">
      <c r="A360" s="7" t="s">
        <v>212</v>
      </c>
      <c r="B360" s="7" t="s">
        <v>191</v>
      </c>
      <c r="C360" s="24" t="s">
        <v>58</v>
      </c>
      <c r="D360" s="24" t="s">
        <v>61</v>
      </c>
      <c r="E360" s="8">
        <v>46105</v>
      </c>
      <c r="F360" s="8">
        <v>46112</v>
      </c>
      <c r="G360" s="9">
        <f t="shared" si="71"/>
        <v>8</v>
      </c>
      <c r="H360" s="10">
        <v>416</v>
      </c>
      <c r="I360" s="10">
        <v>101</v>
      </c>
      <c r="J360" s="10">
        <v>56</v>
      </c>
      <c r="K360" s="11">
        <f t="shared" si="65"/>
        <v>52</v>
      </c>
      <c r="L360" s="11">
        <f t="shared" si="66"/>
        <v>12.625</v>
      </c>
      <c r="M360" s="12">
        <f t="shared" si="67"/>
        <v>0.24278846153846154</v>
      </c>
      <c r="N360" s="11">
        <f t="shared" si="68"/>
        <v>7</v>
      </c>
      <c r="O360" s="12">
        <f t="shared" si="69"/>
        <v>0.5544554455445545</v>
      </c>
      <c r="P360" s="12">
        <f t="shared" si="70"/>
        <v>0.13461538461538461</v>
      </c>
      <c r="Q360" s="13">
        <f t="shared" si="72"/>
        <v>12.625</v>
      </c>
      <c r="R360" s="13">
        <f t="shared" si="73"/>
        <v>7</v>
      </c>
    </row>
    <row r="361" spans="1:18" ht="15.75" customHeight="1" x14ac:dyDescent="0.3">
      <c r="A361" s="7" t="s">
        <v>212</v>
      </c>
      <c r="B361" s="7" t="s">
        <v>192</v>
      </c>
      <c r="C361" s="24" t="s">
        <v>58</v>
      </c>
      <c r="D361" s="24" t="s">
        <v>193</v>
      </c>
      <c r="E361" s="8">
        <v>46105</v>
      </c>
      <c r="F361" s="8">
        <v>46112</v>
      </c>
      <c r="G361" s="9">
        <f t="shared" si="71"/>
        <v>8</v>
      </c>
      <c r="H361" s="10">
        <v>4</v>
      </c>
      <c r="I361" s="10">
        <v>2</v>
      </c>
      <c r="J361" s="10">
        <v>2</v>
      </c>
      <c r="K361" s="11">
        <f t="shared" si="65"/>
        <v>0.5</v>
      </c>
      <c r="L361" s="11">
        <f t="shared" si="66"/>
        <v>0.25</v>
      </c>
      <c r="M361" s="12">
        <f t="shared" si="67"/>
        <v>0.5</v>
      </c>
      <c r="N361" s="11">
        <f t="shared" si="68"/>
        <v>0.25</v>
      </c>
      <c r="O361" s="12">
        <f t="shared" si="69"/>
        <v>1</v>
      </c>
      <c r="P361" s="12">
        <f t="shared" si="70"/>
        <v>0.5</v>
      </c>
      <c r="Q361" s="13">
        <f t="shared" si="72"/>
        <v>0.25</v>
      </c>
      <c r="R361" s="13">
        <f t="shared" si="73"/>
        <v>0.25</v>
      </c>
    </row>
    <row r="362" spans="1:18" ht="15.75" customHeight="1" x14ac:dyDescent="0.3">
      <c r="A362" s="7" t="s">
        <v>212</v>
      </c>
      <c r="B362" s="7" t="s">
        <v>194</v>
      </c>
      <c r="C362" s="24" t="s">
        <v>58</v>
      </c>
      <c r="D362" s="24" t="s">
        <v>103</v>
      </c>
      <c r="E362" s="8">
        <v>46105</v>
      </c>
      <c r="F362" s="8">
        <v>46112</v>
      </c>
      <c r="G362" s="9">
        <f t="shared" si="71"/>
        <v>8</v>
      </c>
      <c r="H362" s="10">
        <v>173</v>
      </c>
      <c r="I362" s="10">
        <v>36</v>
      </c>
      <c r="J362" s="10">
        <v>25</v>
      </c>
      <c r="K362" s="11">
        <f t="shared" si="65"/>
        <v>21.625</v>
      </c>
      <c r="L362" s="11">
        <f t="shared" si="66"/>
        <v>4.5</v>
      </c>
      <c r="M362" s="12">
        <f t="shared" si="67"/>
        <v>0.20809248554913296</v>
      </c>
      <c r="N362" s="11">
        <f t="shared" si="68"/>
        <v>3.125</v>
      </c>
      <c r="O362" s="12">
        <f t="shared" si="69"/>
        <v>0.69444444444444442</v>
      </c>
      <c r="P362" s="12">
        <f t="shared" si="70"/>
        <v>0.14450867052023122</v>
      </c>
      <c r="Q362" s="13">
        <f t="shared" si="72"/>
        <v>4.5</v>
      </c>
      <c r="R362" s="13">
        <f t="shared" si="73"/>
        <v>3.1250000000000004</v>
      </c>
    </row>
    <row r="363" spans="1:18" ht="15.75" customHeight="1" x14ac:dyDescent="0.3">
      <c r="A363" s="7" t="s">
        <v>212</v>
      </c>
      <c r="B363" s="7" t="s">
        <v>243</v>
      </c>
      <c r="C363" s="24" t="s">
        <v>58</v>
      </c>
      <c r="D363" s="24" t="s">
        <v>193</v>
      </c>
      <c r="E363" s="8">
        <v>46105</v>
      </c>
      <c r="F363" s="8">
        <v>46112</v>
      </c>
      <c r="G363" s="9">
        <f t="shared" si="71"/>
        <v>8</v>
      </c>
      <c r="H363" s="10" t="s">
        <v>433</v>
      </c>
      <c r="I363" s="10" t="s">
        <v>433</v>
      </c>
      <c r="J363" s="10" t="s">
        <v>433</v>
      </c>
      <c r="K363" s="11" t="str">
        <f t="shared" si="65"/>
        <v/>
      </c>
      <c r="L363" s="11" t="str">
        <f t="shared" si="66"/>
        <v/>
      </c>
      <c r="M363" s="12" t="str">
        <f t="shared" si="67"/>
        <v/>
      </c>
      <c r="N363" s="11" t="str">
        <f t="shared" si="68"/>
        <v/>
      </c>
      <c r="O363" s="12" t="str">
        <f t="shared" si="69"/>
        <v/>
      </c>
      <c r="P363" s="12" t="str">
        <f t="shared" si="70"/>
        <v/>
      </c>
      <c r="Q363" s="13" t="str">
        <f t="shared" si="72"/>
        <v/>
      </c>
      <c r="R363" s="13" t="str">
        <f t="shared" si="73"/>
        <v/>
      </c>
    </row>
    <row r="364" spans="1:18" ht="15.75" customHeight="1" x14ac:dyDescent="0.3">
      <c r="A364" s="7" t="s">
        <v>212</v>
      </c>
      <c r="B364" s="7" t="s">
        <v>86</v>
      </c>
      <c r="C364" s="24" t="s">
        <v>58</v>
      </c>
      <c r="D364" s="24" t="s">
        <v>64</v>
      </c>
      <c r="E364" s="8">
        <v>46105</v>
      </c>
      <c r="F364" s="8">
        <v>46112</v>
      </c>
      <c r="G364" s="9">
        <f t="shared" si="71"/>
        <v>8</v>
      </c>
      <c r="H364" s="10">
        <v>26</v>
      </c>
      <c r="I364" s="10">
        <v>12</v>
      </c>
      <c r="J364" s="10">
        <v>9</v>
      </c>
      <c r="K364" s="11">
        <f t="shared" si="65"/>
        <v>3.25</v>
      </c>
      <c r="L364" s="11">
        <f t="shared" si="66"/>
        <v>1.5</v>
      </c>
      <c r="M364" s="12">
        <f t="shared" si="67"/>
        <v>0.46153846153846156</v>
      </c>
      <c r="N364" s="11">
        <f t="shared" si="68"/>
        <v>1.125</v>
      </c>
      <c r="O364" s="12">
        <f t="shared" si="69"/>
        <v>0.75</v>
      </c>
      <c r="P364" s="12">
        <f t="shared" si="70"/>
        <v>0.34615384615384615</v>
      </c>
      <c r="Q364" s="13">
        <f t="shared" si="72"/>
        <v>1.5</v>
      </c>
      <c r="R364" s="13">
        <f t="shared" si="73"/>
        <v>1.125</v>
      </c>
    </row>
    <row r="365" spans="1:18" ht="15.75" customHeight="1" x14ac:dyDescent="0.3">
      <c r="A365" s="7" t="s">
        <v>212</v>
      </c>
      <c r="B365" s="7" t="s">
        <v>195</v>
      </c>
      <c r="C365" s="24" t="s">
        <v>58</v>
      </c>
      <c r="D365" s="24" t="s">
        <v>444</v>
      </c>
      <c r="E365" s="8">
        <v>46105</v>
      </c>
      <c r="F365" s="8">
        <v>46112</v>
      </c>
      <c r="G365" s="9">
        <f t="shared" si="71"/>
        <v>8</v>
      </c>
      <c r="H365" s="10">
        <v>161</v>
      </c>
      <c r="I365" s="10">
        <v>63</v>
      </c>
      <c r="J365" s="10">
        <v>48</v>
      </c>
      <c r="K365" s="11">
        <f t="shared" si="65"/>
        <v>20.125</v>
      </c>
      <c r="L365" s="11">
        <f t="shared" si="66"/>
        <v>7.875</v>
      </c>
      <c r="M365" s="12">
        <f t="shared" si="67"/>
        <v>0.39130434782608697</v>
      </c>
      <c r="N365" s="11">
        <f t="shared" si="68"/>
        <v>6</v>
      </c>
      <c r="O365" s="12">
        <f t="shared" si="69"/>
        <v>0.76190476190476186</v>
      </c>
      <c r="P365" s="12">
        <f t="shared" si="70"/>
        <v>0.29813664596273293</v>
      </c>
      <c r="Q365" s="13">
        <f t="shared" si="72"/>
        <v>7.875</v>
      </c>
      <c r="R365" s="13">
        <f t="shared" si="73"/>
        <v>6</v>
      </c>
    </row>
    <row r="366" spans="1:18" ht="15.75" customHeight="1" x14ac:dyDescent="0.3">
      <c r="A366" s="7" t="s">
        <v>212</v>
      </c>
      <c r="B366" s="7" t="s">
        <v>196</v>
      </c>
      <c r="C366" s="24" t="s">
        <v>58</v>
      </c>
      <c r="D366" s="24" t="s">
        <v>66</v>
      </c>
      <c r="E366" s="8">
        <v>46105</v>
      </c>
      <c r="F366" s="8">
        <v>46112</v>
      </c>
      <c r="G366" s="9">
        <f t="shared" si="71"/>
        <v>8</v>
      </c>
      <c r="H366" s="10">
        <v>209</v>
      </c>
      <c r="I366" s="10">
        <v>59</v>
      </c>
      <c r="J366" s="10">
        <v>38</v>
      </c>
      <c r="K366" s="11">
        <f t="shared" si="65"/>
        <v>26.125</v>
      </c>
      <c r="L366" s="11">
        <f t="shared" si="66"/>
        <v>7.375</v>
      </c>
      <c r="M366" s="12">
        <f t="shared" si="67"/>
        <v>0.28229665071770332</v>
      </c>
      <c r="N366" s="11">
        <f t="shared" si="68"/>
        <v>4.75</v>
      </c>
      <c r="O366" s="12">
        <f t="shared" si="69"/>
        <v>0.64406779661016944</v>
      </c>
      <c r="P366" s="12">
        <f t="shared" si="70"/>
        <v>0.18181818181818182</v>
      </c>
      <c r="Q366" s="13">
        <f t="shared" si="72"/>
        <v>7.3749999999999991</v>
      </c>
      <c r="R366" s="13">
        <f t="shared" si="73"/>
        <v>4.75</v>
      </c>
    </row>
    <row r="367" spans="1:18" ht="15.75" customHeight="1" x14ac:dyDescent="0.3">
      <c r="A367" s="7" t="s">
        <v>212</v>
      </c>
      <c r="B367" s="7" t="s">
        <v>197</v>
      </c>
      <c r="C367" s="24" t="s">
        <v>58</v>
      </c>
      <c r="D367" s="24" t="s">
        <v>68</v>
      </c>
      <c r="E367" s="8">
        <v>46105</v>
      </c>
      <c r="F367" s="8">
        <v>46112</v>
      </c>
      <c r="G367" s="9">
        <f t="shared" si="71"/>
        <v>8</v>
      </c>
      <c r="H367" s="10">
        <v>5</v>
      </c>
      <c r="I367" s="10">
        <v>2</v>
      </c>
      <c r="J367" s="10">
        <v>1</v>
      </c>
      <c r="K367" s="11">
        <f t="shared" si="65"/>
        <v>0.625</v>
      </c>
      <c r="L367" s="11">
        <f t="shared" si="66"/>
        <v>0.25</v>
      </c>
      <c r="M367" s="12">
        <f t="shared" si="67"/>
        <v>0.4</v>
      </c>
      <c r="N367" s="11">
        <f t="shared" si="68"/>
        <v>0.125</v>
      </c>
      <c r="O367" s="12">
        <f t="shared" si="69"/>
        <v>0.5</v>
      </c>
      <c r="P367" s="12">
        <f t="shared" si="70"/>
        <v>0.2</v>
      </c>
      <c r="Q367" s="13">
        <f t="shared" si="72"/>
        <v>0.25</v>
      </c>
      <c r="R367" s="13">
        <f t="shared" si="73"/>
        <v>0.125</v>
      </c>
    </row>
    <row r="368" spans="1:18" ht="15.75" customHeight="1" x14ac:dyDescent="0.3">
      <c r="A368" s="7" t="s">
        <v>212</v>
      </c>
      <c r="B368" s="7" t="s">
        <v>198</v>
      </c>
      <c r="C368" s="24" t="s">
        <v>58</v>
      </c>
      <c r="D368" s="24" t="s">
        <v>66</v>
      </c>
      <c r="E368" s="8">
        <v>46105</v>
      </c>
      <c r="F368" s="8">
        <v>46112</v>
      </c>
      <c r="G368" s="9">
        <f t="shared" si="71"/>
        <v>8</v>
      </c>
      <c r="H368" s="10">
        <v>147</v>
      </c>
      <c r="I368" s="10">
        <v>43</v>
      </c>
      <c r="J368" s="10">
        <v>25</v>
      </c>
      <c r="K368" s="11">
        <f t="shared" si="65"/>
        <v>18.375</v>
      </c>
      <c r="L368" s="11">
        <f t="shared" si="66"/>
        <v>5.375</v>
      </c>
      <c r="M368" s="12">
        <f t="shared" si="67"/>
        <v>0.29251700680272108</v>
      </c>
      <c r="N368" s="11">
        <f t="shared" si="68"/>
        <v>3.125</v>
      </c>
      <c r="O368" s="12">
        <f t="shared" si="69"/>
        <v>0.58139534883720934</v>
      </c>
      <c r="P368" s="12">
        <f t="shared" si="70"/>
        <v>0.17006802721088435</v>
      </c>
      <c r="Q368" s="13">
        <f t="shared" si="72"/>
        <v>5.375</v>
      </c>
      <c r="R368" s="13">
        <f t="shared" si="73"/>
        <v>3.125</v>
      </c>
    </row>
    <row r="369" spans="1:18" ht="15.75" customHeight="1" x14ac:dyDescent="0.3">
      <c r="A369" s="7" t="s">
        <v>212</v>
      </c>
      <c r="B369" s="7" t="s">
        <v>199</v>
      </c>
      <c r="C369" s="24" t="s">
        <v>58</v>
      </c>
      <c r="D369" s="24" t="s">
        <v>68</v>
      </c>
      <c r="E369" s="8">
        <v>46105</v>
      </c>
      <c r="F369" s="8">
        <v>46112</v>
      </c>
      <c r="G369" s="9">
        <f t="shared" si="71"/>
        <v>8</v>
      </c>
      <c r="H369" s="10">
        <v>18</v>
      </c>
      <c r="I369" s="10">
        <v>9</v>
      </c>
      <c r="J369" s="10">
        <v>8</v>
      </c>
      <c r="K369" s="11">
        <f t="shared" si="65"/>
        <v>2.25</v>
      </c>
      <c r="L369" s="11">
        <f t="shared" si="66"/>
        <v>1.125</v>
      </c>
      <c r="M369" s="12">
        <f t="shared" si="67"/>
        <v>0.5</v>
      </c>
      <c r="N369" s="11">
        <f t="shared" si="68"/>
        <v>1</v>
      </c>
      <c r="O369" s="12">
        <f t="shared" si="69"/>
        <v>0.88888888888888884</v>
      </c>
      <c r="P369" s="12">
        <f t="shared" si="70"/>
        <v>0.44444444444444442</v>
      </c>
      <c r="Q369" s="13">
        <f t="shared" si="72"/>
        <v>1.125</v>
      </c>
      <c r="R369" s="13">
        <f t="shared" si="73"/>
        <v>1</v>
      </c>
    </row>
    <row r="370" spans="1:18" ht="15.75" customHeight="1" x14ac:dyDescent="0.3">
      <c r="A370" s="7" t="s">
        <v>212</v>
      </c>
      <c r="B370" s="7" t="s">
        <v>200</v>
      </c>
      <c r="C370" s="24" t="s">
        <v>58</v>
      </c>
      <c r="D370" s="24" t="s">
        <v>66</v>
      </c>
      <c r="E370" s="8">
        <v>46105</v>
      </c>
      <c r="F370" s="8">
        <v>46112</v>
      </c>
      <c r="G370" s="9">
        <f t="shared" si="71"/>
        <v>8</v>
      </c>
      <c r="H370" s="10">
        <v>59</v>
      </c>
      <c r="I370" s="10">
        <v>18</v>
      </c>
      <c r="J370" s="10">
        <v>11</v>
      </c>
      <c r="K370" s="11">
        <f t="shared" si="65"/>
        <v>7.375</v>
      </c>
      <c r="L370" s="11">
        <f t="shared" si="66"/>
        <v>2.25</v>
      </c>
      <c r="M370" s="12">
        <f t="shared" si="67"/>
        <v>0.30508474576271188</v>
      </c>
      <c r="N370" s="11">
        <f t="shared" si="68"/>
        <v>1.375</v>
      </c>
      <c r="O370" s="12">
        <f t="shared" si="69"/>
        <v>0.61111111111111116</v>
      </c>
      <c r="P370" s="12">
        <f t="shared" si="70"/>
        <v>0.1864406779661017</v>
      </c>
      <c r="Q370" s="13">
        <f t="shared" si="72"/>
        <v>2.25</v>
      </c>
      <c r="R370" s="13">
        <f t="shared" si="73"/>
        <v>1.375</v>
      </c>
    </row>
    <row r="371" spans="1:18" ht="15.75" customHeight="1" x14ac:dyDescent="0.3">
      <c r="A371" s="7" t="s">
        <v>212</v>
      </c>
      <c r="B371" s="7" t="s">
        <v>201</v>
      </c>
      <c r="C371" s="24" t="s">
        <v>58</v>
      </c>
      <c r="D371" s="24" t="s">
        <v>68</v>
      </c>
      <c r="E371" s="8">
        <v>46105</v>
      </c>
      <c r="F371" s="8">
        <v>46112</v>
      </c>
      <c r="G371" s="9">
        <f t="shared" si="71"/>
        <v>8</v>
      </c>
      <c r="H371" s="10">
        <v>10</v>
      </c>
      <c r="I371" s="10">
        <v>6</v>
      </c>
      <c r="J371" s="10">
        <v>5</v>
      </c>
      <c r="K371" s="11">
        <f t="shared" si="65"/>
        <v>1.25</v>
      </c>
      <c r="L371" s="11">
        <f t="shared" si="66"/>
        <v>0.75</v>
      </c>
      <c r="M371" s="12">
        <f t="shared" si="67"/>
        <v>0.6</v>
      </c>
      <c r="N371" s="11">
        <f t="shared" si="68"/>
        <v>0.625</v>
      </c>
      <c r="O371" s="12">
        <f t="shared" si="69"/>
        <v>0.83333333333333337</v>
      </c>
      <c r="P371" s="12">
        <f t="shared" si="70"/>
        <v>0.5</v>
      </c>
      <c r="Q371" s="13">
        <f t="shared" si="72"/>
        <v>0.75</v>
      </c>
      <c r="R371" s="13">
        <f t="shared" si="73"/>
        <v>0.625</v>
      </c>
    </row>
    <row r="372" spans="1:18" ht="15.75" customHeight="1" x14ac:dyDescent="0.3">
      <c r="A372" s="7" t="s">
        <v>212</v>
      </c>
      <c r="B372" s="7" t="s">
        <v>131</v>
      </c>
      <c r="C372" s="24" t="s">
        <v>58</v>
      </c>
      <c r="D372" s="24" t="s">
        <v>74</v>
      </c>
      <c r="E372" s="8">
        <v>46105</v>
      </c>
      <c r="F372" s="8">
        <v>46112</v>
      </c>
      <c r="G372" s="9">
        <f t="shared" si="71"/>
        <v>8</v>
      </c>
      <c r="H372" s="10">
        <v>82</v>
      </c>
      <c r="I372" s="10">
        <v>36</v>
      </c>
      <c r="J372" s="10">
        <v>22</v>
      </c>
      <c r="K372" s="11">
        <f t="shared" si="65"/>
        <v>10.25</v>
      </c>
      <c r="L372" s="11">
        <f t="shared" si="66"/>
        <v>4.5</v>
      </c>
      <c r="M372" s="12">
        <f t="shared" si="67"/>
        <v>0.43902439024390244</v>
      </c>
      <c r="N372" s="11">
        <f t="shared" si="68"/>
        <v>2.75</v>
      </c>
      <c r="O372" s="12">
        <f t="shared" si="69"/>
        <v>0.61111111111111116</v>
      </c>
      <c r="P372" s="12">
        <f t="shared" si="70"/>
        <v>0.26829268292682928</v>
      </c>
      <c r="Q372" s="13">
        <f t="shared" si="72"/>
        <v>4.5</v>
      </c>
      <c r="R372" s="13">
        <f t="shared" si="73"/>
        <v>2.75</v>
      </c>
    </row>
    <row r="373" spans="1:18" ht="15.75" customHeight="1" x14ac:dyDescent="0.3">
      <c r="A373" s="7" t="s">
        <v>212</v>
      </c>
      <c r="B373" s="7" t="s">
        <v>133</v>
      </c>
      <c r="C373" s="24" t="s">
        <v>58</v>
      </c>
      <c r="D373" s="24" t="s">
        <v>74</v>
      </c>
      <c r="E373" s="8">
        <v>46105</v>
      </c>
      <c r="F373" s="8">
        <v>46112</v>
      </c>
      <c r="G373" s="9">
        <f t="shared" si="71"/>
        <v>8</v>
      </c>
      <c r="H373" s="10">
        <v>43</v>
      </c>
      <c r="I373" s="10">
        <v>19</v>
      </c>
      <c r="J373" s="10">
        <v>12</v>
      </c>
      <c r="K373" s="11">
        <f t="shared" si="65"/>
        <v>5.375</v>
      </c>
      <c r="L373" s="11">
        <f t="shared" si="66"/>
        <v>2.375</v>
      </c>
      <c r="M373" s="12">
        <f t="shared" si="67"/>
        <v>0.44186046511627908</v>
      </c>
      <c r="N373" s="11">
        <f t="shared" si="68"/>
        <v>1.5</v>
      </c>
      <c r="O373" s="12">
        <f t="shared" si="69"/>
        <v>0.63157894736842102</v>
      </c>
      <c r="P373" s="12">
        <f t="shared" si="70"/>
        <v>0.27906976744186046</v>
      </c>
      <c r="Q373" s="13">
        <f t="shared" si="72"/>
        <v>2.375</v>
      </c>
      <c r="R373" s="13">
        <f t="shared" si="73"/>
        <v>1.5</v>
      </c>
    </row>
    <row r="374" spans="1:18" ht="15.75" customHeight="1" x14ac:dyDescent="0.3">
      <c r="A374" s="7" t="s">
        <v>217</v>
      </c>
      <c r="B374" s="7" t="s">
        <v>78</v>
      </c>
      <c r="C374" s="24" t="s">
        <v>34</v>
      </c>
      <c r="D374" s="24" t="s">
        <v>35</v>
      </c>
      <c r="E374" s="8">
        <v>46113</v>
      </c>
      <c r="F374" s="8">
        <v>46117</v>
      </c>
      <c r="G374" s="9">
        <v>5</v>
      </c>
      <c r="H374" s="10">
        <v>148</v>
      </c>
      <c r="I374" s="10">
        <v>56</v>
      </c>
      <c r="J374" s="10">
        <v>29</v>
      </c>
      <c r="K374" s="11">
        <f t="shared" ref="K374:K380" si="74">IFERROR(H374/G374,"")</f>
        <v>29.6</v>
      </c>
      <c r="L374" s="11">
        <f t="shared" ref="L374:L380" si="75">IFERROR(I374/G374,"")</f>
        <v>11.2</v>
      </c>
      <c r="M374" s="12">
        <f t="shared" ref="M374:M380" si="76">IFERROR(I374/H374,"")</f>
        <v>0.3783783783783784</v>
      </c>
      <c r="N374" s="11">
        <f t="shared" ref="N374:N380" si="77">IFERROR(J374/G374,"")</f>
        <v>5.8</v>
      </c>
      <c r="O374" s="12">
        <f t="shared" ref="O374:O380" si="78">IFERROR(J374/I374,"")</f>
        <v>0.5178571428571429</v>
      </c>
      <c r="P374" s="12">
        <f t="shared" ref="P374:P380" si="79">IFERROR(J374/H374,"")</f>
        <v>0.19594594594594594</v>
      </c>
      <c r="Q374" s="13">
        <f t="shared" ref="Q374:Q388" si="80">IFERROR((I374/H374)*K374,"")</f>
        <v>11.200000000000001</v>
      </c>
      <c r="R374" s="13">
        <f t="shared" ref="R374:R388" si="81">IFERROR((J374/H374)*K374,"")</f>
        <v>5.8</v>
      </c>
    </row>
    <row r="375" spans="1:18" ht="15.75" customHeight="1" x14ac:dyDescent="0.3">
      <c r="A375" s="7" t="s">
        <v>217</v>
      </c>
      <c r="B375" s="7" t="s">
        <v>81</v>
      </c>
      <c r="C375" s="24" t="s">
        <v>34</v>
      </c>
      <c r="D375" s="24" t="s">
        <v>35</v>
      </c>
      <c r="E375" s="8">
        <v>46113</v>
      </c>
      <c r="F375" s="8">
        <v>46117</v>
      </c>
      <c r="G375" s="9">
        <v>5</v>
      </c>
      <c r="H375" s="10">
        <v>294</v>
      </c>
      <c r="I375" s="10">
        <v>89</v>
      </c>
      <c r="J375" s="10">
        <v>51</v>
      </c>
      <c r="K375" s="11">
        <f t="shared" si="74"/>
        <v>58.8</v>
      </c>
      <c r="L375" s="11">
        <f t="shared" si="75"/>
        <v>17.8</v>
      </c>
      <c r="M375" s="12">
        <f t="shared" si="76"/>
        <v>0.30272108843537415</v>
      </c>
      <c r="N375" s="11">
        <f t="shared" si="77"/>
        <v>10.199999999999999</v>
      </c>
      <c r="O375" s="12">
        <f t="shared" si="78"/>
        <v>0.5730337078651685</v>
      </c>
      <c r="P375" s="12">
        <f t="shared" si="79"/>
        <v>0.17346938775510204</v>
      </c>
      <c r="Q375" s="13">
        <f t="shared" si="80"/>
        <v>17.8</v>
      </c>
      <c r="R375" s="13">
        <f t="shared" si="81"/>
        <v>10.199999999999999</v>
      </c>
    </row>
    <row r="376" spans="1:18" ht="15.75" customHeight="1" x14ac:dyDescent="0.3">
      <c r="A376" s="7" t="s">
        <v>217</v>
      </c>
      <c r="B376" s="7" t="s">
        <v>218</v>
      </c>
      <c r="C376" s="24" t="s">
        <v>34</v>
      </c>
      <c r="D376" s="24" t="s">
        <v>91</v>
      </c>
      <c r="E376" s="8">
        <v>46113</v>
      </c>
      <c r="F376" s="8">
        <v>46117</v>
      </c>
      <c r="G376" s="9">
        <v>5</v>
      </c>
      <c r="H376" s="10">
        <v>22</v>
      </c>
      <c r="I376" s="10">
        <v>9</v>
      </c>
      <c r="J376" s="10">
        <v>7</v>
      </c>
      <c r="K376" s="11">
        <f t="shared" si="74"/>
        <v>4.4000000000000004</v>
      </c>
      <c r="L376" s="11">
        <f t="shared" si="75"/>
        <v>1.8</v>
      </c>
      <c r="M376" s="12">
        <f t="shared" si="76"/>
        <v>0.40909090909090912</v>
      </c>
      <c r="N376" s="11">
        <f t="shared" si="77"/>
        <v>1.4</v>
      </c>
      <c r="O376" s="12">
        <f t="shared" si="78"/>
        <v>0.77777777777777779</v>
      </c>
      <c r="P376" s="12">
        <f t="shared" si="79"/>
        <v>0.31818181818181818</v>
      </c>
      <c r="Q376" s="13">
        <f t="shared" si="80"/>
        <v>1.8000000000000003</v>
      </c>
      <c r="R376" s="13">
        <f t="shared" si="81"/>
        <v>1.4000000000000001</v>
      </c>
    </row>
    <row r="377" spans="1:18" ht="15.75" customHeight="1" x14ac:dyDescent="0.3">
      <c r="A377" s="7" t="s">
        <v>217</v>
      </c>
      <c r="B377" s="7" t="s">
        <v>41</v>
      </c>
      <c r="C377" s="24" t="s">
        <v>34</v>
      </c>
      <c r="D377" s="24" t="s">
        <v>39</v>
      </c>
      <c r="E377" s="8">
        <v>46113</v>
      </c>
      <c r="F377" s="8">
        <v>46117</v>
      </c>
      <c r="G377" s="9">
        <v>5</v>
      </c>
      <c r="H377" s="10">
        <v>143</v>
      </c>
      <c r="I377" s="10">
        <v>28</v>
      </c>
      <c r="J377" s="10">
        <v>18</v>
      </c>
      <c r="K377" s="11">
        <f t="shared" si="74"/>
        <v>28.6</v>
      </c>
      <c r="L377" s="11">
        <f t="shared" si="75"/>
        <v>5.6</v>
      </c>
      <c r="M377" s="12">
        <f t="shared" si="76"/>
        <v>0.19580419580419581</v>
      </c>
      <c r="N377" s="11">
        <f t="shared" si="77"/>
        <v>3.6</v>
      </c>
      <c r="O377" s="12">
        <f t="shared" si="78"/>
        <v>0.6428571428571429</v>
      </c>
      <c r="P377" s="12">
        <f t="shared" si="79"/>
        <v>0.12587412587412589</v>
      </c>
      <c r="Q377" s="13">
        <f t="shared" si="80"/>
        <v>5.6000000000000005</v>
      </c>
      <c r="R377" s="13">
        <f t="shared" si="81"/>
        <v>3.6000000000000005</v>
      </c>
    </row>
    <row r="378" spans="1:18" ht="15.75" customHeight="1" x14ac:dyDescent="0.3">
      <c r="A378" s="7" t="s">
        <v>217</v>
      </c>
      <c r="B378" s="7" t="s">
        <v>219</v>
      </c>
      <c r="C378" s="24" t="s">
        <v>34</v>
      </c>
      <c r="D378" s="24" t="s">
        <v>445</v>
      </c>
      <c r="E378" s="8">
        <v>46113</v>
      </c>
      <c r="F378" s="8">
        <v>46117</v>
      </c>
      <c r="G378" s="9">
        <v>5</v>
      </c>
      <c r="H378" s="10">
        <v>151</v>
      </c>
      <c r="I378" s="10">
        <v>34</v>
      </c>
      <c r="J378" s="10">
        <v>22</v>
      </c>
      <c r="K378" s="11">
        <f t="shared" si="74"/>
        <v>30.2</v>
      </c>
      <c r="L378" s="11">
        <f t="shared" si="75"/>
        <v>6.8</v>
      </c>
      <c r="M378" s="12">
        <f t="shared" si="76"/>
        <v>0.2251655629139073</v>
      </c>
      <c r="N378" s="11">
        <f t="shared" si="77"/>
        <v>4.4000000000000004</v>
      </c>
      <c r="O378" s="12">
        <f t="shared" si="78"/>
        <v>0.6470588235294118</v>
      </c>
      <c r="P378" s="12">
        <f t="shared" si="79"/>
        <v>0.14569536423841059</v>
      </c>
      <c r="Q378" s="13">
        <f t="shared" si="80"/>
        <v>6.8</v>
      </c>
      <c r="R378" s="13">
        <f t="shared" si="81"/>
        <v>4.3999999999999995</v>
      </c>
    </row>
    <row r="379" spans="1:18" ht="15.75" customHeight="1" x14ac:dyDescent="0.3">
      <c r="A379" s="7" t="s">
        <v>217</v>
      </c>
      <c r="B379" s="7" t="s">
        <v>43</v>
      </c>
      <c r="C379" s="24" t="s">
        <v>34</v>
      </c>
      <c r="D379" s="24" t="s">
        <v>44</v>
      </c>
      <c r="E379" s="8">
        <v>46113</v>
      </c>
      <c r="F379" s="8">
        <v>46117</v>
      </c>
      <c r="G379" s="9">
        <v>5</v>
      </c>
      <c r="H379" s="10">
        <v>230</v>
      </c>
      <c r="I379" s="10">
        <v>32</v>
      </c>
      <c r="J379" s="10">
        <v>21</v>
      </c>
      <c r="K379" s="11">
        <f t="shared" si="74"/>
        <v>46</v>
      </c>
      <c r="L379" s="11">
        <f t="shared" si="75"/>
        <v>6.4</v>
      </c>
      <c r="M379" s="12">
        <f t="shared" si="76"/>
        <v>0.1391304347826087</v>
      </c>
      <c r="N379" s="11">
        <f t="shared" si="77"/>
        <v>4.2</v>
      </c>
      <c r="O379" s="12">
        <f t="shared" si="78"/>
        <v>0.65625</v>
      </c>
      <c r="P379" s="12">
        <f t="shared" si="79"/>
        <v>9.1304347826086957E-2</v>
      </c>
      <c r="Q379" s="13">
        <f t="shared" si="80"/>
        <v>6.4</v>
      </c>
      <c r="R379" s="13">
        <f t="shared" si="81"/>
        <v>4.2</v>
      </c>
    </row>
    <row r="380" spans="1:18" ht="15.75" customHeight="1" x14ac:dyDescent="0.3">
      <c r="A380" s="7" t="s">
        <v>217</v>
      </c>
      <c r="B380" s="7" t="s">
        <v>45</v>
      </c>
      <c r="C380" s="24" t="s">
        <v>34</v>
      </c>
      <c r="D380" s="24" t="s">
        <v>44</v>
      </c>
      <c r="E380" s="8">
        <v>46113</v>
      </c>
      <c r="F380" s="8">
        <v>46117</v>
      </c>
      <c r="G380" s="9">
        <v>5</v>
      </c>
      <c r="H380" s="10">
        <v>444</v>
      </c>
      <c r="I380" s="10">
        <v>64</v>
      </c>
      <c r="J380" s="10">
        <v>36</v>
      </c>
      <c r="K380" s="11">
        <f t="shared" si="74"/>
        <v>88.8</v>
      </c>
      <c r="L380" s="11">
        <f t="shared" si="75"/>
        <v>12.8</v>
      </c>
      <c r="M380" s="12">
        <f t="shared" si="76"/>
        <v>0.14414414414414414</v>
      </c>
      <c r="N380" s="11">
        <f t="shared" si="77"/>
        <v>7.2</v>
      </c>
      <c r="O380" s="12">
        <f t="shared" si="78"/>
        <v>0.5625</v>
      </c>
      <c r="P380" s="12">
        <f t="shared" si="79"/>
        <v>8.1081081081081086E-2</v>
      </c>
      <c r="Q380" s="13">
        <f t="shared" si="80"/>
        <v>12.799999999999999</v>
      </c>
      <c r="R380" s="13">
        <f t="shared" si="81"/>
        <v>7.2</v>
      </c>
    </row>
    <row r="381" spans="1:18" ht="15.75" customHeight="1" x14ac:dyDescent="0.3">
      <c r="A381" s="7" t="s">
        <v>217</v>
      </c>
      <c r="B381" s="7" t="s">
        <v>220</v>
      </c>
      <c r="C381" s="24" t="s">
        <v>34</v>
      </c>
      <c r="D381" s="24" t="s">
        <v>44</v>
      </c>
      <c r="E381" s="8">
        <v>46113</v>
      </c>
      <c r="F381" s="8">
        <v>46117</v>
      </c>
      <c r="G381" s="9">
        <v>5</v>
      </c>
      <c r="H381" s="10">
        <v>123</v>
      </c>
      <c r="I381" s="10">
        <v>19</v>
      </c>
      <c r="J381" s="10">
        <v>14</v>
      </c>
      <c r="K381" s="11">
        <f t="shared" ref="K381:K439" si="82">IFERROR(H381/G381,"")</f>
        <v>24.6</v>
      </c>
      <c r="L381" s="11">
        <f t="shared" ref="L381:L439" si="83">IFERROR(I381/G381,"")</f>
        <v>3.8</v>
      </c>
      <c r="M381" s="12">
        <f t="shared" ref="M381:M439" si="84">IFERROR(I381/H381,"")</f>
        <v>0.15447154471544716</v>
      </c>
      <c r="N381" s="11">
        <f t="shared" ref="N381:N439" si="85">IFERROR(J381/G381,"")</f>
        <v>2.8</v>
      </c>
      <c r="O381" s="12">
        <f t="shared" ref="O381:O439" si="86">IFERROR(J381/I381,"")</f>
        <v>0.73684210526315785</v>
      </c>
      <c r="P381" s="12">
        <f t="shared" ref="P381:P439" si="87">IFERROR(J381/H381,"")</f>
        <v>0.11382113821138211</v>
      </c>
      <c r="Q381" s="13">
        <f t="shared" si="80"/>
        <v>3.8000000000000003</v>
      </c>
      <c r="R381" s="13">
        <f t="shared" si="81"/>
        <v>2.8</v>
      </c>
    </row>
    <row r="382" spans="1:18" ht="15.75" customHeight="1" x14ac:dyDescent="0.3">
      <c r="A382" s="7" t="s">
        <v>217</v>
      </c>
      <c r="B382" s="7" t="s">
        <v>93</v>
      </c>
      <c r="C382" s="24" t="s">
        <v>47</v>
      </c>
      <c r="D382" s="24" t="s">
        <v>48</v>
      </c>
      <c r="E382" s="8">
        <v>46113</v>
      </c>
      <c r="F382" s="8">
        <v>46117</v>
      </c>
      <c r="G382" s="9">
        <v>5</v>
      </c>
      <c r="H382" s="10">
        <v>440</v>
      </c>
      <c r="I382" s="10">
        <v>145</v>
      </c>
      <c r="J382" s="10">
        <v>101</v>
      </c>
      <c r="K382" s="11">
        <f t="shared" si="82"/>
        <v>88</v>
      </c>
      <c r="L382" s="11">
        <f t="shared" si="83"/>
        <v>29</v>
      </c>
      <c r="M382" s="12">
        <f t="shared" si="84"/>
        <v>0.32954545454545453</v>
      </c>
      <c r="N382" s="11">
        <f t="shared" si="85"/>
        <v>20.2</v>
      </c>
      <c r="O382" s="12">
        <f t="shared" si="86"/>
        <v>0.69655172413793098</v>
      </c>
      <c r="P382" s="12">
        <f t="shared" si="87"/>
        <v>0.22954545454545455</v>
      </c>
      <c r="Q382" s="13">
        <f t="shared" si="80"/>
        <v>29</v>
      </c>
      <c r="R382" s="13">
        <f t="shared" si="81"/>
        <v>20.2</v>
      </c>
    </row>
    <row r="383" spans="1:18" ht="15.75" customHeight="1" x14ac:dyDescent="0.3">
      <c r="A383" s="7" t="s">
        <v>217</v>
      </c>
      <c r="B383" s="7" t="s">
        <v>94</v>
      </c>
      <c r="C383" s="24" t="s">
        <v>47</v>
      </c>
      <c r="D383" s="24" t="s">
        <v>48</v>
      </c>
      <c r="E383" s="8">
        <v>46113</v>
      </c>
      <c r="F383" s="8">
        <v>46117</v>
      </c>
      <c r="G383" s="9">
        <v>5</v>
      </c>
      <c r="H383" s="10">
        <v>0</v>
      </c>
      <c r="I383" s="10">
        <v>0</v>
      </c>
      <c r="J383" s="10">
        <v>0</v>
      </c>
      <c r="K383" s="11">
        <f t="shared" si="82"/>
        <v>0</v>
      </c>
      <c r="L383" s="11">
        <f t="shared" si="83"/>
        <v>0</v>
      </c>
      <c r="M383" s="12" t="str">
        <f t="shared" si="84"/>
        <v/>
      </c>
      <c r="N383" s="11">
        <f t="shared" si="85"/>
        <v>0</v>
      </c>
      <c r="O383" s="12" t="str">
        <f t="shared" si="86"/>
        <v/>
      </c>
      <c r="P383" s="12" t="str">
        <f t="shared" si="87"/>
        <v/>
      </c>
      <c r="Q383" s="13" t="str">
        <f t="shared" si="80"/>
        <v/>
      </c>
      <c r="R383" s="13" t="str">
        <f t="shared" si="81"/>
        <v/>
      </c>
    </row>
    <row r="384" spans="1:18" ht="15.75" customHeight="1" x14ac:dyDescent="0.3">
      <c r="A384" s="7" t="s">
        <v>217</v>
      </c>
      <c r="B384" s="7" t="s">
        <v>50</v>
      </c>
      <c r="C384" s="24" t="s">
        <v>47</v>
      </c>
      <c r="D384" s="24" t="s">
        <v>48</v>
      </c>
      <c r="E384" s="8">
        <v>46113</v>
      </c>
      <c r="F384" s="8">
        <v>46117</v>
      </c>
      <c r="G384" s="9">
        <v>5</v>
      </c>
      <c r="H384" s="10">
        <v>231</v>
      </c>
      <c r="I384" s="10">
        <v>56</v>
      </c>
      <c r="J384" s="10">
        <v>43</v>
      </c>
      <c r="K384" s="11">
        <f t="shared" si="82"/>
        <v>46.2</v>
      </c>
      <c r="L384" s="11">
        <f t="shared" si="83"/>
        <v>11.2</v>
      </c>
      <c r="M384" s="12">
        <f t="shared" si="84"/>
        <v>0.24242424242424243</v>
      </c>
      <c r="N384" s="11">
        <f t="shared" si="85"/>
        <v>8.6</v>
      </c>
      <c r="O384" s="12">
        <f t="shared" si="86"/>
        <v>0.7678571428571429</v>
      </c>
      <c r="P384" s="12">
        <f t="shared" si="87"/>
        <v>0.18614718614718614</v>
      </c>
      <c r="Q384" s="13">
        <f t="shared" si="80"/>
        <v>11.200000000000001</v>
      </c>
      <c r="R384" s="13">
        <f t="shared" si="81"/>
        <v>8.6</v>
      </c>
    </row>
    <row r="385" spans="1:18" ht="15.75" customHeight="1" x14ac:dyDescent="0.3">
      <c r="A385" s="7" t="s">
        <v>217</v>
      </c>
      <c r="B385" s="7" t="s">
        <v>51</v>
      </c>
      <c r="C385" s="24" t="s">
        <v>47</v>
      </c>
      <c r="D385" s="24" t="s">
        <v>48</v>
      </c>
      <c r="E385" s="8">
        <v>46113</v>
      </c>
      <c r="F385" s="8">
        <v>46117</v>
      </c>
      <c r="G385" s="9">
        <v>5</v>
      </c>
      <c r="H385" s="10">
        <v>7</v>
      </c>
      <c r="I385" s="10">
        <v>2</v>
      </c>
      <c r="J385" s="10">
        <v>1</v>
      </c>
      <c r="K385" s="11">
        <f t="shared" si="82"/>
        <v>1.4</v>
      </c>
      <c r="L385" s="11">
        <f t="shared" si="83"/>
        <v>0.4</v>
      </c>
      <c r="M385" s="12">
        <f t="shared" si="84"/>
        <v>0.2857142857142857</v>
      </c>
      <c r="N385" s="11">
        <f t="shared" si="85"/>
        <v>0.2</v>
      </c>
      <c r="O385" s="12">
        <f t="shared" si="86"/>
        <v>0.5</v>
      </c>
      <c r="P385" s="12">
        <f t="shared" si="87"/>
        <v>0.14285714285714285</v>
      </c>
      <c r="Q385" s="13">
        <f t="shared" si="80"/>
        <v>0.39999999999999997</v>
      </c>
      <c r="R385" s="13">
        <f t="shared" si="81"/>
        <v>0.19999999999999998</v>
      </c>
    </row>
    <row r="386" spans="1:18" ht="15.75" customHeight="1" x14ac:dyDescent="0.3">
      <c r="A386" s="7" t="s">
        <v>217</v>
      </c>
      <c r="B386" s="7" t="s">
        <v>97</v>
      </c>
      <c r="C386" s="24" t="s">
        <v>47</v>
      </c>
      <c r="D386" s="24" t="s">
        <v>53</v>
      </c>
      <c r="E386" s="8">
        <v>46113</v>
      </c>
      <c r="F386" s="8">
        <v>46117</v>
      </c>
      <c r="G386" s="9">
        <v>5</v>
      </c>
      <c r="H386" s="10">
        <v>56</v>
      </c>
      <c r="I386" s="10">
        <v>21</v>
      </c>
      <c r="J386" s="10">
        <v>14</v>
      </c>
      <c r="K386" s="11">
        <f t="shared" si="82"/>
        <v>11.2</v>
      </c>
      <c r="L386" s="11">
        <f t="shared" si="83"/>
        <v>4.2</v>
      </c>
      <c r="M386" s="12">
        <f t="shared" si="84"/>
        <v>0.375</v>
      </c>
      <c r="N386" s="11">
        <f t="shared" si="85"/>
        <v>2.8</v>
      </c>
      <c r="O386" s="12">
        <f t="shared" si="86"/>
        <v>0.66666666666666663</v>
      </c>
      <c r="P386" s="12">
        <f t="shared" si="87"/>
        <v>0.25</v>
      </c>
      <c r="Q386" s="13">
        <f t="shared" si="80"/>
        <v>4.1999999999999993</v>
      </c>
      <c r="R386" s="13">
        <f t="shared" si="81"/>
        <v>2.8</v>
      </c>
    </row>
    <row r="387" spans="1:18" ht="15.75" customHeight="1" x14ac:dyDescent="0.3">
      <c r="A387" s="7" t="s">
        <v>217</v>
      </c>
      <c r="B387" s="7" t="s">
        <v>54</v>
      </c>
      <c r="C387" s="24" t="s">
        <v>47</v>
      </c>
      <c r="D387" s="24" t="s">
        <v>53</v>
      </c>
      <c r="E387" s="8">
        <v>46113</v>
      </c>
      <c r="F387" s="8">
        <v>46117</v>
      </c>
      <c r="G387" s="9">
        <v>5</v>
      </c>
      <c r="H387" s="10">
        <v>129</v>
      </c>
      <c r="I387" s="10">
        <v>50</v>
      </c>
      <c r="J387" s="10">
        <v>38</v>
      </c>
      <c r="K387" s="11">
        <f t="shared" si="82"/>
        <v>25.8</v>
      </c>
      <c r="L387" s="11">
        <f t="shared" si="83"/>
        <v>10</v>
      </c>
      <c r="M387" s="12">
        <f t="shared" si="84"/>
        <v>0.38759689922480622</v>
      </c>
      <c r="N387" s="11">
        <f t="shared" si="85"/>
        <v>7.6</v>
      </c>
      <c r="O387" s="12">
        <f t="shared" si="86"/>
        <v>0.76</v>
      </c>
      <c r="P387" s="12">
        <f t="shared" si="87"/>
        <v>0.29457364341085274</v>
      </c>
      <c r="Q387" s="13">
        <f t="shared" si="80"/>
        <v>10</v>
      </c>
      <c r="R387" s="13">
        <f t="shared" si="81"/>
        <v>7.6000000000000005</v>
      </c>
    </row>
    <row r="388" spans="1:18" ht="15.75" customHeight="1" x14ac:dyDescent="0.3">
      <c r="A388" s="7" t="s">
        <v>217</v>
      </c>
      <c r="B388" s="7" t="s">
        <v>99</v>
      </c>
      <c r="C388" s="24" t="s">
        <v>47</v>
      </c>
      <c r="D388" s="24" t="s">
        <v>56</v>
      </c>
      <c r="E388" s="8">
        <v>46113</v>
      </c>
      <c r="F388" s="8">
        <v>46117</v>
      </c>
      <c r="G388" s="9">
        <v>5</v>
      </c>
      <c r="H388" s="10">
        <v>79</v>
      </c>
      <c r="I388" s="10">
        <v>36</v>
      </c>
      <c r="J388" s="10">
        <v>25</v>
      </c>
      <c r="K388" s="11">
        <f t="shared" si="82"/>
        <v>15.8</v>
      </c>
      <c r="L388" s="11">
        <f t="shared" si="83"/>
        <v>7.2</v>
      </c>
      <c r="M388" s="12">
        <f t="shared" si="84"/>
        <v>0.45569620253164556</v>
      </c>
      <c r="N388" s="11">
        <f t="shared" si="85"/>
        <v>5</v>
      </c>
      <c r="O388" s="12">
        <f t="shared" si="86"/>
        <v>0.69444444444444442</v>
      </c>
      <c r="P388" s="12">
        <f t="shared" si="87"/>
        <v>0.31645569620253167</v>
      </c>
      <c r="Q388" s="13">
        <f t="shared" si="80"/>
        <v>7.2</v>
      </c>
      <c r="R388" s="13">
        <f t="shared" si="81"/>
        <v>5.0000000000000009</v>
      </c>
    </row>
    <row r="389" spans="1:18" ht="15.75" customHeight="1" x14ac:dyDescent="0.3">
      <c r="A389" s="7" t="s">
        <v>217</v>
      </c>
      <c r="B389" s="7" t="s">
        <v>100</v>
      </c>
      <c r="C389" s="24" t="s">
        <v>47</v>
      </c>
      <c r="D389" s="24" t="s">
        <v>56</v>
      </c>
      <c r="E389" s="8">
        <v>46113</v>
      </c>
      <c r="F389" s="8">
        <v>46117</v>
      </c>
      <c r="G389" s="9">
        <v>5</v>
      </c>
      <c r="H389" s="10"/>
      <c r="I389" s="10"/>
      <c r="J389" s="10"/>
      <c r="K389" s="11">
        <f t="shared" si="82"/>
        <v>0</v>
      </c>
      <c r="L389" s="11">
        <f t="shared" si="83"/>
        <v>0</v>
      </c>
      <c r="M389" s="12" t="str">
        <f t="shared" si="84"/>
        <v/>
      </c>
      <c r="N389" s="11">
        <f t="shared" si="85"/>
        <v>0</v>
      </c>
      <c r="O389" s="12" t="str">
        <f t="shared" si="86"/>
        <v/>
      </c>
      <c r="P389" s="12" t="str">
        <f t="shared" si="87"/>
        <v/>
      </c>
    </row>
    <row r="390" spans="1:18" ht="15.75" customHeight="1" x14ac:dyDescent="0.3">
      <c r="A390" s="7" t="s">
        <v>217</v>
      </c>
      <c r="B390" s="7" t="s">
        <v>221</v>
      </c>
      <c r="C390" s="24" t="s">
        <v>58</v>
      </c>
      <c r="D390" s="24" t="s">
        <v>61</v>
      </c>
      <c r="E390" s="8">
        <v>46113</v>
      </c>
      <c r="F390" s="8">
        <v>46117</v>
      </c>
      <c r="G390" s="9">
        <v>5</v>
      </c>
      <c r="H390" s="10">
        <v>87</v>
      </c>
      <c r="I390" s="10">
        <v>26</v>
      </c>
      <c r="J390" s="10">
        <v>13</v>
      </c>
      <c r="K390" s="11">
        <f t="shared" si="82"/>
        <v>17.399999999999999</v>
      </c>
      <c r="L390" s="11">
        <f t="shared" si="83"/>
        <v>5.2</v>
      </c>
      <c r="M390" s="12">
        <f t="shared" si="84"/>
        <v>0.2988505747126437</v>
      </c>
      <c r="N390" s="11">
        <f t="shared" si="85"/>
        <v>2.6</v>
      </c>
      <c r="O390" s="12">
        <f t="shared" si="86"/>
        <v>0.5</v>
      </c>
      <c r="P390" s="12">
        <f t="shared" si="87"/>
        <v>0.14942528735632185</v>
      </c>
      <c r="Q390" s="13">
        <f t="shared" ref="Q390:Q397" si="88">IFERROR((I390/H390)*K390,"")</f>
        <v>5.2</v>
      </c>
      <c r="R390" s="13">
        <f t="shared" ref="R390:R397" si="89">IFERROR((J390/H390)*K390,"")</f>
        <v>2.6</v>
      </c>
    </row>
    <row r="391" spans="1:18" ht="15.75" customHeight="1" x14ac:dyDescent="0.3">
      <c r="A391" s="7" t="s">
        <v>217</v>
      </c>
      <c r="B391" s="7" t="s">
        <v>222</v>
      </c>
      <c r="C391" s="24" t="s">
        <v>58</v>
      </c>
      <c r="D391" s="24" t="s">
        <v>124</v>
      </c>
      <c r="E391" s="8">
        <v>46113</v>
      </c>
      <c r="F391" s="8">
        <v>46117</v>
      </c>
      <c r="G391" s="9">
        <v>5</v>
      </c>
      <c r="H391" s="10">
        <v>13</v>
      </c>
      <c r="I391" s="10">
        <v>4</v>
      </c>
      <c r="J391" s="10">
        <v>4</v>
      </c>
      <c r="K391" s="11">
        <f t="shared" si="82"/>
        <v>2.6</v>
      </c>
      <c r="L391" s="11">
        <f t="shared" si="83"/>
        <v>0.8</v>
      </c>
      <c r="M391" s="12">
        <f t="shared" si="84"/>
        <v>0.30769230769230771</v>
      </c>
      <c r="N391" s="11">
        <f t="shared" si="85"/>
        <v>0.8</v>
      </c>
      <c r="O391" s="12">
        <f t="shared" si="86"/>
        <v>1</v>
      </c>
      <c r="P391" s="12">
        <f t="shared" si="87"/>
        <v>0.30769230769230771</v>
      </c>
      <c r="Q391" s="13">
        <f t="shared" si="88"/>
        <v>0.8</v>
      </c>
      <c r="R391" s="13">
        <f t="shared" si="89"/>
        <v>0.8</v>
      </c>
    </row>
    <row r="392" spans="1:18" ht="15.75" customHeight="1" x14ac:dyDescent="0.3">
      <c r="A392" s="7" t="s">
        <v>217</v>
      </c>
      <c r="B392" s="7" t="s">
        <v>125</v>
      </c>
      <c r="C392" s="24" t="s">
        <v>58</v>
      </c>
      <c r="D392" s="24" t="s">
        <v>103</v>
      </c>
      <c r="E392" s="8">
        <v>46113</v>
      </c>
      <c r="F392" s="8">
        <v>46117</v>
      </c>
      <c r="G392" s="9">
        <v>5</v>
      </c>
      <c r="H392" s="10">
        <v>117</v>
      </c>
      <c r="I392" s="10">
        <v>39</v>
      </c>
      <c r="J392" s="10">
        <v>26</v>
      </c>
      <c r="K392" s="11">
        <f t="shared" si="82"/>
        <v>23.4</v>
      </c>
      <c r="L392" s="11">
        <f t="shared" si="83"/>
        <v>7.8</v>
      </c>
      <c r="M392" s="12">
        <f t="shared" si="84"/>
        <v>0.33333333333333331</v>
      </c>
      <c r="N392" s="11">
        <f t="shared" si="85"/>
        <v>5.2</v>
      </c>
      <c r="O392" s="12">
        <f t="shared" si="86"/>
        <v>0.66666666666666663</v>
      </c>
      <c r="P392" s="12">
        <f t="shared" si="87"/>
        <v>0.22222222222222221</v>
      </c>
      <c r="Q392" s="13">
        <f t="shared" si="88"/>
        <v>7.7999999999999989</v>
      </c>
      <c r="R392" s="13">
        <f t="shared" si="89"/>
        <v>5.1999999999999993</v>
      </c>
    </row>
    <row r="393" spans="1:18" ht="15.75" customHeight="1" x14ac:dyDescent="0.3">
      <c r="A393" s="7" t="s">
        <v>217</v>
      </c>
      <c r="B393" s="7" t="s">
        <v>223</v>
      </c>
      <c r="C393" s="24" t="s">
        <v>58</v>
      </c>
      <c r="D393" s="24" t="s">
        <v>64</v>
      </c>
      <c r="E393" s="8">
        <v>46113</v>
      </c>
      <c r="F393" s="8">
        <v>46117</v>
      </c>
      <c r="G393" s="9">
        <v>5</v>
      </c>
      <c r="H393" s="10">
        <v>57</v>
      </c>
      <c r="I393" s="10">
        <v>21</v>
      </c>
      <c r="J393" s="10">
        <v>15</v>
      </c>
      <c r="K393" s="11">
        <f t="shared" si="82"/>
        <v>11.4</v>
      </c>
      <c r="L393" s="11">
        <f t="shared" si="83"/>
        <v>4.2</v>
      </c>
      <c r="M393" s="12">
        <f t="shared" si="84"/>
        <v>0.36842105263157893</v>
      </c>
      <c r="N393" s="11">
        <f t="shared" si="85"/>
        <v>3</v>
      </c>
      <c r="O393" s="12">
        <f t="shared" si="86"/>
        <v>0.7142857142857143</v>
      </c>
      <c r="P393" s="12">
        <f t="shared" si="87"/>
        <v>0.26315789473684209</v>
      </c>
      <c r="Q393" s="13">
        <f t="shared" si="88"/>
        <v>4.2</v>
      </c>
      <c r="R393" s="13">
        <f t="shared" si="89"/>
        <v>3</v>
      </c>
    </row>
    <row r="394" spans="1:18" ht="15.75" customHeight="1" x14ac:dyDescent="0.3">
      <c r="A394" s="7" t="s">
        <v>217</v>
      </c>
      <c r="B394" s="7" t="s">
        <v>200</v>
      </c>
      <c r="C394" s="24" t="s">
        <v>58</v>
      </c>
      <c r="D394" s="24" t="s">
        <v>66</v>
      </c>
      <c r="E394" s="8">
        <v>46113</v>
      </c>
      <c r="F394" s="8">
        <v>46117</v>
      </c>
      <c r="G394" s="9">
        <v>5</v>
      </c>
      <c r="H394" s="10">
        <v>77</v>
      </c>
      <c r="I394" s="10">
        <v>17</v>
      </c>
      <c r="J394" s="10">
        <v>7</v>
      </c>
      <c r="K394" s="11">
        <f t="shared" si="82"/>
        <v>15.4</v>
      </c>
      <c r="L394" s="11">
        <f t="shared" si="83"/>
        <v>3.4</v>
      </c>
      <c r="M394" s="12">
        <f t="shared" si="84"/>
        <v>0.22077922077922077</v>
      </c>
      <c r="N394" s="11">
        <f t="shared" si="85"/>
        <v>1.4</v>
      </c>
      <c r="O394" s="12">
        <f t="shared" si="86"/>
        <v>0.41176470588235292</v>
      </c>
      <c r="P394" s="12">
        <f t="shared" si="87"/>
        <v>9.0909090909090912E-2</v>
      </c>
      <c r="Q394" s="13">
        <f t="shared" si="88"/>
        <v>3.4</v>
      </c>
      <c r="R394" s="13">
        <f t="shared" si="89"/>
        <v>1.4000000000000001</v>
      </c>
    </row>
    <row r="395" spans="1:18" ht="15.75" customHeight="1" x14ac:dyDescent="0.3">
      <c r="A395" s="7" t="s">
        <v>217</v>
      </c>
      <c r="B395" s="7" t="s">
        <v>201</v>
      </c>
      <c r="C395" s="24" t="s">
        <v>58</v>
      </c>
      <c r="D395" s="24" t="s">
        <v>68</v>
      </c>
      <c r="E395" s="8">
        <v>46113</v>
      </c>
      <c r="F395" s="8">
        <v>46117</v>
      </c>
      <c r="G395" s="9">
        <v>5</v>
      </c>
      <c r="H395" s="10">
        <v>15</v>
      </c>
      <c r="I395" s="10">
        <v>8</v>
      </c>
      <c r="J395" s="10">
        <v>5</v>
      </c>
      <c r="K395" s="11">
        <f t="shared" si="82"/>
        <v>3</v>
      </c>
      <c r="L395" s="11">
        <f t="shared" si="83"/>
        <v>1.6</v>
      </c>
      <c r="M395" s="12">
        <f t="shared" si="84"/>
        <v>0.53333333333333333</v>
      </c>
      <c r="N395" s="11">
        <f t="shared" si="85"/>
        <v>1</v>
      </c>
      <c r="O395" s="12">
        <f t="shared" si="86"/>
        <v>0.625</v>
      </c>
      <c r="P395" s="12">
        <f t="shared" si="87"/>
        <v>0.33333333333333331</v>
      </c>
      <c r="Q395" s="13">
        <f t="shared" si="88"/>
        <v>1.6</v>
      </c>
      <c r="R395" s="13">
        <f t="shared" si="89"/>
        <v>1</v>
      </c>
    </row>
    <row r="396" spans="1:18" ht="15.75" customHeight="1" x14ac:dyDescent="0.3">
      <c r="A396" s="7" t="s">
        <v>217</v>
      </c>
      <c r="B396" s="7" t="s">
        <v>136</v>
      </c>
      <c r="C396" s="24" t="s">
        <v>58</v>
      </c>
      <c r="D396" s="24" t="s">
        <v>66</v>
      </c>
      <c r="E396" s="8">
        <v>46113</v>
      </c>
      <c r="F396" s="8">
        <v>46117</v>
      </c>
      <c r="G396" s="9">
        <v>5</v>
      </c>
      <c r="H396" s="10">
        <v>45</v>
      </c>
      <c r="I396" s="10">
        <v>14</v>
      </c>
      <c r="J396" s="10">
        <v>10</v>
      </c>
      <c r="K396" s="11">
        <f t="shared" si="82"/>
        <v>9</v>
      </c>
      <c r="L396" s="11">
        <f t="shared" si="83"/>
        <v>2.8</v>
      </c>
      <c r="M396" s="12">
        <f t="shared" si="84"/>
        <v>0.31111111111111112</v>
      </c>
      <c r="N396" s="11">
        <f t="shared" si="85"/>
        <v>2</v>
      </c>
      <c r="O396" s="12">
        <f t="shared" si="86"/>
        <v>0.7142857142857143</v>
      </c>
      <c r="P396" s="12">
        <f t="shared" si="87"/>
        <v>0.22222222222222221</v>
      </c>
      <c r="Q396" s="13">
        <f t="shared" si="88"/>
        <v>2.8</v>
      </c>
      <c r="R396" s="13">
        <f t="shared" si="89"/>
        <v>2</v>
      </c>
    </row>
    <row r="397" spans="1:18" ht="15.75" customHeight="1" x14ac:dyDescent="0.3">
      <c r="A397" s="7" t="s">
        <v>217</v>
      </c>
      <c r="B397" s="7" t="s">
        <v>137</v>
      </c>
      <c r="C397" s="24" t="s">
        <v>58</v>
      </c>
      <c r="D397" s="24" t="s">
        <v>68</v>
      </c>
      <c r="E397" s="8">
        <v>46113</v>
      </c>
      <c r="F397" s="8">
        <v>46117</v>
      </c>
      <c r="G397" s="9">
        <v>5</v>
      </c>
      <c r="H397" s="10">
        <v>4</v>
      </c>
      <c r="I397" s="10">
        <v>2</v>
      </c>
      <c r="J397" s="10">
        <v>2</v>
      </c>
      <c r="K397" s="11">
        <f t="shared" si="82"/>
        <v>0.8</v>
      </c>
      <c r="L397" s="11">
        <f t="shared" si="83"/>
        <v>0.4</v>
      </c>
      <c r="M397" s="12">
        <f t="shared" si="84"/>
        <v>0.5</v>
      </c>
      <c r="N397" s="11">
        <f t="shared" si="85"/>
        <v>0.4</v>
      </c>
      <c r="O397" s="12">
        <f t="shared" si="86"/>
        <v>1</v>
      </c>
      <c r="P397" s="12">
        <f t="shared" si="87"/>
        <v>0.5</v>
      </c>
      <c r="Q397" s="13">
        <f t="shared" si="88"/>
        <v>0.4</v>
      </c>
      <c r="R397" s="13">
        <f t="shared" si="89"/>
        <v>0.4</v>
      </c>
    </row>
    <row r="398" spans="1:18" ht="15.75" customHeight="1" x14ac:dyDescent="0.3">
      <c r="A398" s="7" t="s">
        <v>217</v>
      </c>
      <c r="B398" s="7" t="s">
        <v>224</v>
      </c>
      <c r="C398" s="24" t="s">
        <v>58</v>
      </c>
      <c r="D398" s="24" t="s">
        <v>66</v>
      </c>
      <c r="E398" s="8">
        <v>46113</v>
      </c>
      <c r="F398" s="8">
        <v>46117</v>
      </c>
      <c r="G398" s="9">
        <v>5</v>
      </c>
      <c r="H398" s="10"/>
      <c r="I398" s="10"/>
      <c r="J398" s="10"/>
      <c r="K398" s="11">
        <f t="shared" si="82"/>
        <v>0</v>
      </c>
      <c r="L398" s="11">
        <f t="shared" si="83"/>
        <v>0</v>
      </c>
      <c r="M398" s="12" t="str">
        <f t="shared" si="84"/>
        <v/>
      </c>
      <c r="N398" s="11">
        <f t="shared" si="85"/>
        <v>0</v>
      </c>
      <c r="O398" s="12" t="str">
        <f t="shared" si="86"/>
        <v/>
      </c>
      <c r="P398" s="12" t="str">
        <f t="shared" si="87"/>
        <v/>
      </c>
    </row>
    <row r="399" spans="1:18" ht="15.75" customHeight="1" x14ac:dyDescent="0.3">
      <c r="A399" s="7" t="s">
        <v>217</v>
      </c>
      <c r="B399" s="7" t="s">
        <v>225</v>
      </c>
      <c r="C399" s="24" t="s">
        <v>58</v>
      </c>
      <c r="D399" s="24" t="s">
        <v>68</v>
      </c>
      <c r="E399" s="8">
        <v>46113</v>
      </c>
      <c r="F399" s="8">
        <v>46117</v>
      </c>
      <c r="G399" s="9">
        <v>5</v>
      </c>
      <c r="H399" s="10"/>
      <c r="I399" s="10"/>
      <c r="J399" s="10"/>
      <c r="K399" s="11">
        <f t="shared" si="82"/>
        <v>0</v>
      </c>
      <c r="L399" s="11">
        <f t="shared" si="83"/>
        <v>0</v>
      </c>
      <c r="M399" s="12" t="str">
        <f t="shared" si="84"/>
        <v/>
      </c>
      <c r="N399" s="11">
        <f t="shared" si="85"/>
        <v>0</v>
      </c>
      <c r="O399" s="12" t="str">
        <f t="shared" si="86"/>
        <v/>
      </c>
      <c r="P399" s="12" t="str">
        <f t="shared" si="87"/>
        <v/>
      </c>
    </row>
    <row r="400" spans="1:18" ht="15.75" customHeight="1" x14ac:dyDescent="0.3">
      <c r="A400" s="7" t="s">
        <v>217</v>
      </c>
      <c r="B400" s="7" t="s">
        <v>112</v>
      </c>
      <c r="C400" s="24" t="s">
        <v>58</v>
      </c>
      <c r="D400" s="24" t="s">
        <v>66</v>
      </c>
      <c r="E400" s="8">
        <v>46113</v>
      </c>
      <c r="F400" s="8">
        <v>46117</v>
      </c>
      <c r="G400" s="9">
        <v>5</v>
      </c>
      <c r="H400" s="10">
        <v>30</v>
      </c>
      <c r="I400" s="10">
        <v>5</v>
      </c>
      <c r="J400" s="10">
        <v>5</v>
      </c>
      <c r="K400" s="11">
        <f t="shared" si="82"/>
        <v>6</v>
      </c>
      <c r="L400" s="11">
        <f t="shared" si="83"/>
        <v>1</v>
      </c>
      <c r="M400" s="12">
        <f t="shared" si="84"/>
        <v>0.16666666666666666</v>
      </c>
      <c r="N400" s="11">
        <f t="shared" si="85"/>
        <v>1</v>
      </c>
      <c r="O400" s="12">
        <f t="shared" si="86"/>
        <v>1</v>
      </c>
      <c r="P400" s="12">
        <f t="shared" si="87"/>
        <v>0.16666666666666666</v>
      </c>
      <c r="Q400" s="13">
        <f t="shared" ref="Q400:Q425" si="90">IFERROR((I400/H400)*K400,"")</f>
        <v>1</v>
      </c>
      <c r="R400" s="13">
        <f t="shared" ref="R400:R425" si="91">IFERROR((J400/H400)*K400,"")</f>
        <v>1</v>
      </c>
    </row>
    <row r="401" spans="1:18" ht="15.75" customHeight="1" x14ac:dyDescent="0.3">
      <c r="A401" s="7" t="s">
        <v>217</v>
      </c>
      <c r="B401" s="7" t="s">
        <v>113</v>
      </c>
      <c r="C401" s="24" t="s">
        <v>58</v>
      </c>
      <c r="D401" s="24" t="s">
        <v>68</v>
      </c>
      <c r="E401" s="8">
        <v>46113</v>
      </c>
      <c r="F401" s="8">
        <v>46117</v>
      </c>
      <c r="G401" s="9">
        <v>5</v>
      </c>
      <c r="H401" s="10">
        <v>13</v>
      </c>
      <c r="I401" s="10">
        <v>2</v>
      </c>
      <c r="J401" s="10">
        <v>2</v>
      </c>
      <c r="K401" s="11">
        <f t="shared" si="82"/>
        <v>2.6</v>
      </c>
      <c r="L401" s="11">
        <f t="shared" si="83"/>
        <v>0.4</v>
      </c>
      <c r="M401" s="12">
        <f t="shared" si="84"/>
        <v>0.15384615384615385</v>
      </c>
      <c r="N401" s="11">
        <f t="shared" si="85"/>
        <v>0.4</v>
      </c>
      <c r="O401" s="12">
        <f t="shared" si="86"/>
        <v>1</v>
      </c>
      <c r="P401" s="12">
        <f t="shared" si="87"/>
        <v>0.15384615384615385</v>
      </c>
      <c r="Q401" s="13">
        <f t="shared" si="90"/>
        <v>0.4</v>
      </c>
      <c r="R401" s="13">
        <f t="shared" si="91"/>
        <v>0.4</v>
      </c>
    </row>
    <row r="402" spans="1:18" ht="15.75" customHeight="1" x14ac:dyDescent="0.3">
      <c r="A402" s="7" t="s">
        <v>217</v>
      </c>
      <c r="B402" s="7" t="s">
        <v>73</v>
      </c>
      <c r="C402" s="24" t="s">
        <v>58</v>
      </c>
      <c r="D402" s="24" t="s">
        <v>74</v>
      </c>
      <c r="E402" s="8">
        <v>46113</v>
      </c>
      <c r="F402" s="8">
        <v>46117</v>
      </c>
      <c r="G402" s="9">
        <v>5</v>
      </c>
      <c r="H402" s="10">
        <v>48</v>
      </c>
      <c r="I402" s="10">
        <v>19</v>
      </c>
      <c r="J402" s="10">
        <v>11</v>
      </c>
      <c r="K402" s="11">
        <f t="shared" si="82"/>
        <v>9.6</v>
      </c>
      <c r="L402" s="11">
        <f t="shared" si="83"/>
        <v>3.8</v>
      </c>
      <c r="M402" s="12">
        <f t="shared" si="84"/>
        <v>0.39583333333333331</v>
      </c>
      <c r="N402" s="11">
        <f t="shared" si="85"/>
        <v>2.2000000000000002</v>
      </c>
      <c r="O402" s="12">
        <f t="shared" si="86"/>
        <v>0.57894736842105265</v>
      </c>
      <c r="P402" s="12">
        <f t="shared" si="87"/>
        <v>0.22916666666666666</v>
      </c>
      <c r="Q402" s="13">
        <f t="shared" si="90"/>
        <v>3.8</v>
      </c>
      <c r="R402" s="13">
        <f t="shared" si="91"/>
        <v>2.1999999999999997</v>
      </c>
    </row>
    <row r="403" spans="1:18" ht="15.75" customHeight="1" x14ac:dyDescent="0.3">
      <c r="A403" s="7" t="s">
        <v>217</v>
      </c>
      <c r="B403" s="7" t="s">
        <v>131</v>
      </c>
      <c r="C403" s="24" t="s">
        <v>58</v>
      </c>
      <c r="D403" s="24" t="s">
        <v>74</v>
      </c>
      <c r="E403" s="8">
        <v>46113</v>
      </c>
      <c r="F403" s="8">
        <v>46117</v>
      </c>
      <c r="G403" s="9">
        <v>5</v>
      </c>
      <c r="H403" s="10">
        <v>106</v>
      </c>
      <c r="I403" s="10">
        <v>26</v>
      </c>
      <c r="J403" s="10">
        <v>20</v>
      </c>
      <c r="K403" s="11">
        <f t="shared" si="82"/>
        <v>21.2</v>
      </c>
      <c r="L403" s="11">
        <f t="shared" si="83"/>
        <v>5.2</v>
      </c>
      <c r="M403" s="12">
        <f t="shared" si="84"/>
        <v>0.24528301886792453</v>
      </c>
      <c r="N403" s="11">
        <f t="shared" si="85"/>
        <v>4</v>
      </c>
      <c r="O403" s="12">
        <f t="shared" si="86"/>
        <v>0.76923076923076927</v>
      </c>
      <c r="P403" s="12">
        <f t="shared" si="87"/>
        <v>0.18867924528301888</v>
      </c>
      <c r="Q403" s="13">
        <f t="shared" si="90"/>
        <v>5.2</v>
      </c>
      <c r="R403" s="13">
        <f t="shared" si="91"/>
        <v>4</v>
      </c>
    </row>
    <row r="404" spans="1:18" ht="15.75" customHeight="1" x14ac:dyDescent="0.3">
      <c r="A404" s="7" t="s">
        <v>217</v>
      </c>
      <c r="B404" s="7" t="s">
        <v>210</v>
      </c>
      <c r="C404" s="24" t="s">
        <v>58</v>
      </c>
      <c r="D404" s="24" t="s">
        <v>59</v>
      </c>
      <c r="E404" s="8">
        <v>46113</v>
      </c>
      <c r="F404" s="8">
        <v>46117</v>
      </c>
      <c r="G404" s="9">
        <v>5</v>
      </c>
      <c r="H404" s="10">
        <v>16</v>
      </c>
      <c r="I404" s="10">
        <v>2</v>
      </c>
      <c r="J404" s="10">
        <v>2</v>
      </c>
      <c r="K404" s="11">
        <f t="shared" si="82"/>
        <v>3.2</v>
      </c>
      <c r="L404" s="11">
        <f t="shared" si="83"/>
        <v>0.4</v>
      </c>
      <c r="M404" s="12">
        <f t="shared" si="84"/>
        <v>0.125</v>
      </c>
      <c r="N404" s="11">
        <f t="shared" si="85"/>
        <v>0.4</v>
      </c>
      <c r="O404" s="12">
        <f t="shared" si="86"/>
        <v>1</v>
      </c>
      <c r="P404" s="12">
        <f t="shared" si="87"/>
        <v>0.125</v>
      </c>
      <c r="Q404" s="13">
        <f t="shared" si="90"/>
        <v>0.4</v>
      </c>
      <c r="R404" s="13">
        <f t="shared" si="91"/>
        <v>0.4</v>
      </c>
    </row>
    <row r="405" spans="1:18" ht="15.75" customHeight="1" x14ac:dyDescent="0.3">
      <c r="A405" s="7" t="s">
        <v>217</v>
      </c>
      <c r="B405" s="7" t="s">
        <v>203</v>
      </c>
      <c r="C405" s="24" t="s">
        <v>58</v>
      </c>
      <c r="D405" s="24" t="s">
        <v>59</v>
      </c>
      <c r="E405" s="8">
        <v>46113</v>
      </c>
      <c r="F405" s="8">
        <v>46117</v>
      </c>
      <c r="G405" s="9">
        <v>5</v>
      </c>
      <c r="H405" s="10">
        <v>18</v>
      </c>
      <c r="I405" s="10">
        <v>5</v>
      </c>
      <c r="J405" s="10">
        <v>3</v>
      </c>
      <c r="K405" s="11">
        <f t="shared" si="82"/>
        <v>3.6</v>
      </c>
      <c r="L405" s="11">
        <f t="shared" si="83"/>
        <v>1</v>
      </c>
      <c r="M405" s="12">
        <f t="shared" si="84"/>
        <v>0.27777777777777779</v>
      </c>
      <c r="N405" s="11">
        <f t="shared" si="85"/>
        <v>0.6</v>
      </c>
      <c r="O405" s="12">
        <f t="shared" si="86"/>
        <v>0.6</v>
      </c>
      <c r="P405" s="12">
        <f t="shared" si="87"/>
        <v>0.16666666666666666</v>
      </c>
      <c r="Q405" s="13">
        <f t="shared" si="90"/>
        <v>1</v>
      </c>
      <c r="R405" s="13">
        <f t="shared" si="91"/>
        <v>0.6</v>
      </c>
    </row>
    <row r="406" spans="1:18" ht="15.75" customHeight="1" x14ac:dyDescent="0.3">
      <c r="A406" s="7" t="s">
        <v>217</v>
      </c>
      <c r="B406" s="7" t="s">
        <v>33</v>
      </c>
      <c r="C406" s="24" t="s">
        <v>34</v>
      </c>
      <c r="D406" s="24" t="s">
        <v>35</v>
      </c>
      <c r="E406" s="8">
        <v>46113</v>
      </c>
      <c r="F406" s="8">
        <v>46117</v>
      </c>
      <c r="G406" s="9">
        <v>5</v>
      </c>
      <c r="H406" s="10">
        <v>181</v>
      </c>
      <c r="I406" s="10">
        <v>62</v>
      </c>
      <c r="J406" s="10">
        <v>40</v>
      </c>
      <c r="K406" s="11">
        <f t="shared" si="82"/>
        <v>36.200000000000003</v>
      </c>
      <c r="L406" s="11">
        <f t="shared" si="83"/>
        <v>12.4</v>
      </c>
      <c r="M406" s="12">
        <f t="shared" si="84"/>
        <v>0.34254143646408841</v>
      </c>
      <c r="N406" s="11">
        <f t="shared" si="85"/>
        <v>8</v>
      </c>
      <c r="O406" s="12">
        <f t="shared" si="86"/>
        <v>0.64516129032258063</v>
      </c>
      <c r="P406" s="12">
        <f t="shared" si="87"/>
        <v>0.22099447513812154</v>
      </c>
      <c r="Q406" s="13">
        <f t="shared" si="90"/>
        <v>12.400000000000002</v>
      </c>
      <c r="R406" s="13">
        <f t="shared" si="91"/>
        <v>8</v>
      </c>
    </row>
    <row r="407" spans="1:18" ht="15.75" customHeight="1" x14ac:dyDescent="0.3">
      <c r="A407" s="7" t="s">
        <v>217</v>
      </c>
      <c r="B407" s="7" t="s">
        <v>36</v>
      </c>
      <c r="C407" s="24" t="s">
        <v>34</v>
      </c>
      <c r="D407" s="24" t="s">
        <v>35</v>
      </c>
      <c r="E407" s="8">
        <v>46113</v>
      </c>
      <c r="F407" s="8">
        <v>46117</v>
      </c>
      <c r="G407" s="9">
        <v>5</v>
      </c>
      <c r="H407" s="10">
        <v>0</v>
      </c>
      <c r="I407" s="10">
        <v>0</v>
      </c>
      <c r="J407" s="10">
        <v>0</v>
      </c>
      <c r="K407" s="11">
        <f t="shared" si="82"/>
        <v>0</v>
      </c>
      <c r="L407" s="11">
        <f t="shared" si="83"/>
        <v>0</v>
      </c>
      <c r="M407" s="12" t="str">
        <f t="shared" si="84"/>
        <v/>
      </c>
      <c r="N407" s="11">
        <f t="shared" si="85"/>
        <v>0</v>
      </c>
      <c r="O407" s="12" t="str">
        <f t="shared" si="86"/>
        <v/>
      </c>
      <c r="P407" s="12" t="str">
        <f t="shared" si="87"/>
        <v/>
      </c>
      <c r="Q407" s="13" t="str">
        <f t="shared" si="90"/>
        <v/>
      </c>
      <c r="R407" s="13" t="str">
        <f t="shared" si="91"/>
        <v/>
      </c>
    </row>
    <row r="408" spans="1:18" ht="15.75" customHeight="1" x14ac:dyDescent="0.3">
      <c r="A408" s="7" t="s">
        <v>217</v>
      </c>
      <c r="B408" s="7" t="s">
        <v>170</v>
      </c>
      <c r="C408" s="24" t="s">
        <v>34</v>
      </c>
      <c r="D408" s="24" t="s">
        <v>35</v>
      </c>
      <c r="E408" s="8">
        <v>46113</v>
      </c>
      <c r="F408" s="8">
        <v>46117</v>
      </c>
      <c r="G408" s="9">
        <v>5</v>
      </c>
      <c r="H408" s="10">
        <v>352</v>
      </c>
      <c r="I408" s="10">
        <v>107</v>
      </c>
      <c r="J408" s="10">
        <v>54</v>
      </c>
      <c r="K408" s="11">
        <f t="shared" si="82"/>
        <v>70.400000000000006</v>
      </c>
      <c r="L408" s="11">
        <f t="shared" si="83"/>
        <v>21.4</v>
      </c>
      <c r="M408" s="12">
        <f t="shared" si="84"/>
        <v>0.30397727272727271</v>
      </c>
      <c r="N408" s="11">
        <f t="shared" si="85"/>
        <v>10.8</v>
      </c>
      <c r="O408" s="12">
        <f t="shared" si="86"/>
        <v>0.50467289719626163</v>
      </c>
      <c r="P408" s="12">
        <f t="shared" si="87"/>
        <v>0.15340909090909091</v>
      </c>
      <c r="Q408" s="13">
        <f t="shared" si="90"/>
        <v>21.4</v>
      </c>
      <c r="R408" s="13">
        <f t="shared" si="91"/>
        <v>10.8</v>
      </c>
    </row>
    <row r="409" spans="1:18" ht="15.75" customHeight="1" x14ac:dyDescent="0.3">
      <c r="A409" s="7" t="s">
        <v>217</v>
      </c>
      <c r="B409" s="7" t="s">
        <v>156</v>
      </c>
      <c r="C409" s="24" t="s">
        <v>34</v>
      </c>
      <c r="D409" s="24" t="s">
        <v>35</v>
      </c>
      <c r="E409" s="8">
        <v>46113</v>
      </c>
      <c r="F409" s="8">
        <v>46117</v>
      </c>
      <c r="G409" s="9">
        <v>5</v>
      </c>
      <c r="H409" s="10">
        <v>250</v>
      </c>
      <c r="I409" s="10">
        <v>72</v>
      </c>
      <c r="J409" s="10">
        <v>38</v>
      </c>
      <c r="K409" s="11">
        <f t="shared" si="82"/>
        <v>50</v>
      </c>
      <c r="L409" s="11">
        <f t="shared" si="83"/>
        <v>14.4</v>
      </c>
      <c r="M409" s="12">
        <f t="shared" si="84"/>
        <v>0.28799999999999998</v>
      </c>
      <c r="N409" s="11">
        <f t="shared" si="85"/>
        <v>7.6</v>
      </c>
      <c r="O409" s="12">
        <f t="shared" si="86"/>
        <v>0.52777777777777779</v>
      </c>
      <c r="P409" s="12">
        <f t="shared" si="87"/>
        <v>0.152</v>
      </c>
      <c r="Q409" s="13">
        <f t="shared" si="90"/>
        <v>14.399999999999999</v>
      </c>
      <c r="R409" s="13">
        <f t="shared" si="91"/>
        <v>7.6</v>
      </c>
    </row>
    <row r="410" spans="1:18" ht="15.75" customHeight="1" x14ac:dyDescent="0.3">
      <c r="A410" s="7" t="s">
        <v>217</v>
      </c>
      <c r="B410" s="7" t="s">
        <v>207</v>
      </c>
      <c r="C410" s="24" t="s">
        <v>34</v>
      </c>
      <c r="D410" s="24" t="s">
        <v>35</v>
      </c>
      <c r="E410" s="8">
        <v>46113</v>
      </c>
      <c r="F410" s="8">
        <v>46117</v>
      </c>
      <c r="G410" s="9">
        <v>5</v>
      </c>
      <c r="H410" s="10">
        <v>55</v>
      </c>
      <c r="I410" s="10">
        <v>11</v>
      </c>
      <c r="J410" s="10">
        <v>5</v>
      </c>
      <c r="K410" s="11">
        <f t="shared" si="82"/>
        <v>11</v>
      </c>
      <c r="L410" s="11">
        <f t="shared" si="83"/>
        <v>2.2000000000000002</v>
      </c>
      <c r="M410" s="12">
        <f t="shared" si="84"/>
        <v>0.2</v>
      </c>
      <c r="N410" s="11">
        <f t="shared" si="85"/>
        <v>1</v>
      </c>
      <c r="O410" s="12">
        <f t="shared" si="86"/>
        <v>0.45454545454545453</v>
      </c>
      <c r="P410" s="12">
        <f t="shared" si="87"/>
        <v>9.0909090909090912E-2</v>
      </c>
      <c r="Q410" s="13">
        <f t="shared" si="90"/>
        <v>2.2000000000000002</v>
      </c>
      <c r="R410" s="13">
        <f t="shared" si="91"/>
        <v>1</v>
      </c>
    </row>
    <row r="411" spans="1:18" ht="15.75" customHeight="1" x14ac:dyDescent="0.3">
      <c r="A411" s="7" t="s">
        <v>217</v>
      </c>
      <c r="B411" s="7" t="s">
        <v>226</v>
      </c>
      <c r="C411" s="24" t="s">
        <v>34</v>
      </c>
      <c r="D411" s="24" t="s">
        <v>91</v>
      </c>
      <c r="E411" s="8">
        <v>46113</v>
      </c>
      <c r="F411" s="8">
        <v>46117</v>
      </c>
      <c r="G411" s="9">
        <v>5</v>
      </c>
      <c r="H411" s="10">
        <v>23</v>
      </c>
      <c r="I411" s="10">
        <v>9</v>
      </c>
      <c r="J411" s="10">
        <v>6</v>
      </c>
      <c r="K411" s="11">
        <f t="shared" si="82"/>
        <v>4.5999999999999996</v>
      </c>
      <c r="L411" s="11">
        <f t="shared" si="83"/>
        <v>1.8</v>
      </c>
      <c r="M411" s="12">
        <f t="shared" si="84"/>
        <v>0.39130434782608697</v>
      </c>
      <c r="N411" s="11">
        <f t="shared" si="85"/>
        <v>1.2</v>
      </c>
      <c r="O411" s="12">
        <f t="shared" si="86"/>
        <v>0.66666666666666663</v>
      </c>
      <c r="P411" s="12">
        <f t="shared" si="87"/>
        <v>0.2608695652173913</v>
      </c>
      <c r="Q411" s="13">
        <f t="shared" si="90"/>
        <v>1.8</v>
      </c>
      <c r="R411" s="13">
        <f t="shared" si="91"/>
        <v>1.2</v>
      </c>
    </row>
    <row r="412" spans="1:18" ht="15.75" customHeight="1" x14ac:dyDescent="0.3">
      <c r="A412" s="7" t="s">
        <v>217</v>
      </c>
      <c r="B412" s="7" t="s">
        <v>227</v>
      </c>
      <c r="C412" s="24" t="s">
        <v>34</v>
      </c>
      <c r="D412" s="24" t="s">
        <v>91</v>
      </c>
      <c r="E412" s="8">
        <v>46113</v>
      </c>
      <c r="F412" s="8">
        <v>46117</v>
      </c>
      <c r="G412" s="9">
        <v>5</v>
      </c>
      <c r="H412" s="10">
        <v>49</v>
      </c>
      <c r="I412" s="10">
        <v>17</v>
      </c>
      <c r="J412" s="10">
        <v>13</v>
      </c>
      <c r="K412" s="11">
        <f t="shared" si="82"/>
        <v>9.8000000000000007</v>
      </c>
      <c r="L412" s="11">
        <f t="shared" si="83"/>
        <v>3.4</v>
      </c>
      <c r="M412" s="12">
        <f t="shared" si="84"/>
        <v>0.34693877551020408</v>
      </c>
      <c r="N412" s="11">
        <f t="shared" si="85"/>
        <v>2.6</v>
      </c>
      <c r="O412" s="12">
        <f t="shared" si="86"/>
        <v>0.76470588235294112</v>
      </c>
      <c r="P412" s="12">
        <f t="shared" si="87"/>
        <v>0.26530612244897961</v>
      </c>
      <c r="Q412" s="13">
        <f t="shared" si="90"/>
        <v>3.4000000000000004</v>
      </c>
      <c r="R412" s="13">
        <f t="shared" si="91"/>
        <v>2.6000000000000005</v>
      </c>
    </row>
    <row r="413" spans="1:18" ht="15.75" customHeight="1" x14ac:dyDescent="0.3">
      <c r="A413" s="7" t="s">
        <v>217</v>
      </c>
      <c r="B413" s="7" t="s">
        <v>42</v>
      </c>
      <c r="C413" s="24" t="s">
        <v>34</v>
      </c>
      <c r="D413" s="24" t="s">
        <v>39</v>
      </c>
      <c r="E413" s="8">
        <v>46113</v>
      </c>
      <c r="F413" s="8">
        <v>46117</v>
      </c>
      <c r="G413" s="9">
        <v>5</v>
      </c>
      <c r="H413" s="10">
        <v>143</v>
      </c>
      <c r="I413" s="10">
        <v>28</v>
      </c>
      <c r="J413" s="10">
        <v>18</v>
      </c>
      <c r="K413" s="11">
        <f t="shared" si="82"/>
        <v>28.6</v>
      </c>
      <c r="L413" s="11">
        <f t="shared" si="83"/>
        <v>5.6</v>
      </c>
      <c r="M413" s="12">
        <f t="shared" si="84"/>
        <v>0.19580419580419581</v>
      </c>
      <c r="N413" s="11">
        <f t="shared" si="85"/>
        <v>3.6</v>
      </c>
      <c r="O413" s="12">
        <f t="shared" si="86"/>
        <v>0.6428571428571429</v>
      </c>
      <c r="P413" s="12">
        <f t="shared" si="87"/>
        <v>0.12587412587412589</v>
      </c>
      <c r="Q413" s="13">
        <f t="shared" si="90"/>
        <v>5.6000000000000005</v>
      </c>
      <c r="R413" s="13">
        <f t="shared" si="91"/>
        <v>3.6000000000000005</v>
      </c>
    </row>
    <row r="414" spans="1:18" ht="15.75" customHeight="1" x14ac:dyDescent="0.3">
      <c r="A414" s="7" t="s">
        <v>217</v>
      </c>
      <c r="B414" s="7" t="s">
        <v>228</v>
      </c>
      <c r="C414" s="24" t="s">
        <v>34</v>
      </c>
      <c r="D414" s="24" t="s">
        <v>39</v>
      </c>
      <c r="E414" s="8">
        <v>46113</v>
      </c>
      <c r="F414" s="8">
        <v>46117</v>
      </c>
      <c r="G414" s="9">
        <v>5</v>
      </c>
      <c r="H414" s="10">
        <v>7</v>
      </c>
      <c r="I414" s="10">
        <v>0</v>
      </c>
      <c r="J414" s="10">
        <v>0</v>
      </c>
      <c r="K414" s="11">
        <f t="shared" si="82"/>
        <v>1.4</v>
      </c>
      <c r="L414" s="11">
        <f t="shared" si="83"/>
        <v>0</v>
      </c>
      <c r="M414" s="12">
        <f t="shared" si="84"/>
        <v>0</v>
      </c>
      <c r="N414" s="11">
        <f t="shared" si="85"/>
        <v>0</v>
      </c>
      <c r="O414" s="12" t="str">
        <f t="shared" si="86"/>
        <v/>
      </c>
      <c r="P414" s="12">
        <f t="shared" si="87"/>
        <v>0</v>
      </c>
      <c r="Q414" s="13">
        <f t="shared" si="90"/>
        <v>0</v>
      </c>
      <c r="R414" s="13">
        <f t="shared" si="91"/>
        <v>0</v>
      </c>
    </row>
    <row r="415" spans="1:18" ht="15.75" customHeight="1" x14ac:dyDescent="0.3">
      <c r="A415" s="7" t="s">
        <v>217</v>
      </c>
      <c r="B415" s="7" t="s">
        <v>229</v>
      </c>
      <c r="C415" s="24" t="s">
        <v>34</v>
      </c>
      <c r="D415" s="24" t="s">
        <v>39</v>
      </c>
      <c r="E415" s="8">
        <v>46113</v>
      </c>
      <c r="F415" s="8">
        <v>46117</v>
      </c>
      <c r="G415" s="9">
        <v>5</v>
      </c>
      <c r="H415" s="10">
        <v>63</v>
      </c>
      <c r="I415" s="10">
        <v>6</v>
      </c>
      <c r="J415" s="10">
        <v>4</v>
      </c>
      <c r="K415" s="11">
        <f t="shared" si="82"/>
        <v>12.6</v>
      </c>
      <c r="L415" s="11">
        <f t="shared" si="83"/>
        <v>1.2</v>
      </c>
      <c r="M415" s="12">
        <f t="shared" si="84"/>
        <v>9.5238095238095233E-2</v>
      </c>
      <c r="N415" s="11">
        <f t="shared" si="85"/>
        <v>0.8</v>
      </c>
      <c r="O415" s="12">
        <f t="shared" si="86"/>
        <v>0.66666666666666663</v>
      </c>
      <c r="P415" s="12">
        <f t="shared" si="87"/>
        <v>6.3492063492063489E-2</v>
      </c>
      <c r="Q415" s="13">
        <f t="shared" si="90"/>
        <v>1.2</v>
      </c>
      <c r="R415" s="13">
        <f t="shared" si="91"/>
        <v>0.79999999999999993</v>
      </c>
    </row>
    <row r="416" spans="1:18" ht="15.75" customHeight="1" x14ac:dyDescent="0.3">
      <c r="A416" s="7" t="s">
        <v>217</v>
      </c>
      <c r="B416" s="7" t="s">
        <v>142</v>
      </c>
      <c r="C416" s="24" t="s">
        <v>34</v>
      </c>
      <c r="D416" s="24" t="s">
        <v>39</v>
      </c>
      <c r="E416" s="8">
        <v>46113</v>
      </c>
      <c r="F416" s="8">
        <v>46117</v>
      </c>
      <c r="G416" s="9">
        <v>5</v>
      </c>
      <c r="H416" s="10">
        <v>3</v>
      </c>
      <c r="I416" s="10">
        <v>0</v>
      </c>
      <c r="J416" s="10">
        <v>0</v>
      </c>
      <c r="K416" s="11">
        <f t="shared" si="82"/>
        <v>0.6</v>
      </c>
      <c r="L416" s="11">
        <f t="shared" si="83"/>
        <v>0</v>
      </c>
      <c r="M416" s="12">
        <f t="shared" si="84"/>
        <v>0</v>
      </c>
      <c r="N416" s="11">
        <f t="shared" si="85"/>
        <v>0</v>
      </c>
      <c r="O416" s="12" t="str">
        <f t="shared" si="86"/>
        <v/>
      </c>
      <c r="P416" s="12">
        <f t="shared" si="87"/>
        <v>0</v>
      </c>
      <c r="Q416" s="13">
        <f t="shared" si="90"/>
        <v>0</v>
      </c>
      <c r="R416" s="13">
        <f t="shared" si="91"/>
        <v>0</v>
      </c>
    </row>
    <row r="417" spans="1:18" ht="15.75" customHeight="1" x14ac:dyDescent="0.3">
      <c r="A417" s="7" t="s">
        <v>217</v>
      </c>
      <c r="B417" s="7" t="s">
        <v>182</v>
      </c>
      <c r="C417" s="24" t="s">
        <v>34</v>
      </c>
      <c r="D417" s="24" t="s">
        <v>76</v>
      </c>
      <c r="E417" s="8">
        <v>46113</v>
      </c>
      <c r="F417" s="8">
        <v>46117</v>
      </c>
      <c r="G417" s="9">
        <v>5</v>
      </c>
      <c r="H417" s="10">
        <v>26</v>
      </c>
      <c r="I417" s="10">
        <v>5</v>
      </c>
      <c r="J417" s="10">
        <v>4</v>
      </c>
      <c r="K417" s="11">
        <f t="shared" si="82"/>
        <v>5.2</v>
      </c>
      <c r="L417" s="11">
        <f t="shared" si="83"/>
        <v>1</v>
      </c>
      <c r="M417" s="12">
        <f t="shared" si="84"/>
        <v>0.19230769230769232</v>
      </c>
      <c r="N417" s="11">
        <f t="shared" si="85"/>
        <v>0.8</v>
      </c>
      <c r="O417" s="12">
        <f t="shared" si="86"/>
        <v>0.8</v>
      </c>
      <c r="P417" s="12">
        <f t="shared" si="87"/>
        <v>0.15384615384615385</v>
      </c>
      <c r="Q417" s="13">
        <f t="shared" si="90"/>
        <v>1</v>
      </c>
      <c r="R417" s="13">
        <f t="shared" si="91"/>
        <v>0.8</v>
      </c>
    </row>
    <row r="418" spans="1:18" ht="15.75" customHeight="1" x14ac:dyDescent="0.3">
      <c r="A418" s="7" t="s">
        <v>217</v>
      </c>
      <c r="B418" s="7" t="s">
        <v>230</v>
      </c>
      <c r="C418" s="24" t="s">
        <v>34</v>
      </c>
      <c r="D418" s="24" t="s">
        <v>44</v>
      </c>
      <c r="E418" s="8">
        <v>46113</v>
      </c>
      <c r="F418" s="8">
        <v>46117</v>
      </c>
      <c r="G418" s="9">
        <v>5</v>
      </c>
      <c r="H418" s="10">
        <v>151</v>
      </c>
      <c r="I418" s="10">
        <v>34</v>
      </c>
      <c r="J418" s="10">
        <v>22</v>
      </c>
      <c r="K418" s="11">
        <f t="shared" si="82"/>
        <v>30.2</v>
      </c>
      <c r="L418" s="11">
        <f t="shared" si="83"/>
        <v>6.8</v>
      </c>
      <c r="M418" s="12">
        <f t="shared" si="84"/>
        <v>0.2251655629139073</v>
      </c>
      <c r="N418" s="11">
        <f t="shared" si="85"/>
        <v>4.4000000000000004</v>
      </c>
      <c r="O418" s="12">
        <f t="shared" si="86"/>
        <v>0.6470588235294118</v>
      </c>
      <c r="P418" s="12">
        <f t="shared" si="87"/>
        <v>0.14569536423841059</v>
      </c>
      <c r="Q418" s="13">
        <f t="shared" si="90"/>
        <v>6.8</v>
      </c>
      <c r="R418" s="13">
        <f t="shared" si="91"/>
        <v>4.3999999999999995</v>
      </c>
    </row>
    <row r="419" spans="1:18" ht="15.75" customHeight="1" x14ac:dyDescent="0.3">
      <c r="A419" s="7" t="s">
        <v>217</v>
      </c>
      <c r="B419" s="7" t="s">
        <v>231</v>
      </c>
      <c r="C419" s="24" t="s">
        <v>34</v>
      </c>
      <c r="D419" s="24" t="s">
        <v>44</v>
      </c>
      <c r="E419" s="8">
        <v>46113</v>
      </c>
      <c r="F419" s="8">
        <v>46117</v>
      </c>
      <c r="G419" s="9">
        <v>5</v>
      </c>
      <c r="H419" s="10">
        <v>40</v>
      </c>
      <c r="I419" s="10">
        <v>4</v>
      </c>
      <c r="J419" s="10">
        <v>3</v>
      </c>
      <c r="K419" s="11">
        <f t="shared" si="82"/>
        <v>8</v>
      </c>
      <c r="L419" s="11">
        <f t="shared" si="83"/>
        <v>0.8</v>
      </c>
      <c r="M419" s="12">
        <f t="shared" si="84"/>
        <v>0.1</v>
      </c>
      <c r="N419" s="11">
        <f t="shared" si="85"/>
        <v>0.6</v>
      </c>
      <c r="O419" s="12">
        <f t="shared" si="86"/>
        <v>0.75</v>
      </c>
      <c r="P419" s="12">
        <f t="shared" si="87"/>
        <v>7.4999999999999997E-2</v>
      </c>
      <c r="Q419" s="13">
        <f t="shared" si="90"/>
        <v>0.8</v>
      </c>
      <c r="R419" s="13">
        <f t="shared" si="91"/>
        <v>0.6</v>
      </c>
    </row>
    <row r="420" spans="1:18" ht="15.75" customHeight="1" x14ac:dyDescent="0.3">
      <c r="A420" s="7" t="s">
        <v>217</v>
      </c>
      <c r="B420" s="7" t="s">
        <v>232</v>
      </c>
      <c r="C420" s="24" t="s">
        <v>34</v>
      </c>
      <c r="D420" s="24" t="s">
        <v>44</v>
      </c>
      <c r="E420" s="8">
        <v>46113</v>
      </c>
      <c r="F420" s="8">
        <v>46117</v>
      </c>
      <c r="G420" s="9">
        <v>5</v>
      </c>
      <c r="H420" s="10">
        <v>230</v>
      </c>
      <c r="I420" s="10">
        <v>32</v>
      </c>
      <c r="J420" s="10">
        <v>21</v>
      </c>
      <c r="K420" s="11">
        <f t="shared" si="82"/>
        <v>46</v>
      </c>
      <c r="L420" s="11">
        <f t="shared" si="83"/>
        <v>6.4</v>
      </c>
      <c r="M420" s="12">
        <f t="shared" si="84"/>
        <v>0.1391304347826087</v>
      </c>
      <c r="N420" s="11">
        <f t="shared" si="85"/>
        <v>4.2</v>
      </c>
      <c r="O420" s="12">
        <f t="shared" si="86"/>
        <v>0.65625</v>
      </c>
      <c r="P420" s="12">
        <f t="shared" si="87"/>
        <v>9.1304347826086957E-2</v>
      </c>
      <c r="Q420" s="13">
        <f t="shared" si="90"/>
        <v>6.4</v>
      </c>
      <c r="R420" s="13">
        <f t="shared" si="91"/>
        <v>4.2</v>
      </c>
    </row>
    <row r="421" spans="1:18" ht="15.75" customHeight="1" x14ac:dyDescent="0.3">
      <c r="A421" s="7" t="s">
        <v>217</v>
      </c>
      <c r="B421" s="7" t="s">
        <v>233</v>
      </c>
      <c r="C421" s="24" t="s">
        <v>34</v>
      </c>
      <c r="D421" s="24" t="s">
        <v>44</v>
      </c>
      <c r="E421" s="8">
        <v>46113</v>
      </c>
      <c r="F421" s="8">
        <v>46117</v>
      </c>
      <c r="G421" s="9">
        <v>5</v>
      </c>
      <c r="H421" s="10">
        <v>444</v>
      </c>
      <c r="I421" s="10">
        <v>64</v>
      </c>
      <c r="J421" s="10">
        <v>36</v>
      </c>
      <c r="K421" s="11">
        <f t="shared" si="82"/>
        <v>88.8</v>
      </c>
      <c r="L421" s="11">
        <f t="shared" si="83"/>
        <v>12.8</v>
      </c>
      <c r="M421" s="12">
        <f t="shared" si="84"/>
        <v>0.14414414414414414</v>
      </c>
      <c r="N421" s="11">
        <f t="shared" si="85"/>
        <v>7.2</v>
      </c>
      <c r="O421" s="12">
        <f t="shared" si="86"/>
        <v>0.5625</v>
      </c>
      <c r="P421" s="12">
        <f t="shared" si="87"/>
        <v>8.1081081081081086E-2</v>
      </c>
      <c r="Q421" s="13">
        <f t="shared" si="90"/>
        <v>12.799999999999999</v>
      </c>
      <c r="R421" s="13">
        <f t="shared" si="91"/>
        <v>7.2</v>
      </c>
    </row>
    <row r="422" spans="1:18" ht="15.75" customHeight="1" x14ac:dyDescent="0.3">
      <c r="A422" s="7" t="s">
        <v>217</v>
      </c>
      <c r="B422" s="7" t="s">
        <v>119</v>
      </c>
      <c r="C422" s="24" t="s">
        <v>47</v>
      </c>
      <c r="D422" s="24" t="s">
        <v>48</v>
      </c>
      <c r="E422" s="8">
        <v>46113</v>
      </c>
      <c r="F422" s="8">
        <v>46117</v>
      </c>
      <c r="G422" s="9">
        <v>5</v>
      </c>
      <c r="H422" s="10">
        <v>123</v>
      </c>
      <c r="I422" s="10">
        <v>19</v>
      </c>
      <c r="J422" s="10">
        <v>14</v>
      </c>
      <c r="K422" s="11">
        <f t="shared" si="82"/>
        <v>24.6</v>
      </c>
      <c r="L422" s="11">
        <f t="shared" si="83"/>
        <v>3.8</v>
      </c>
      <c r="M422" s="12">
        <f t="shared" si="84"/>
        <v>0.15447154471544716</v>
      </c>
      <c r="N422" s="11">
        <f t="shared" si="85"/>
        <v>2.8</v>
      </c>
      <c r="O422" s="12">
        <f t="shared" si="86"/>
        <v>0.73684210526315785</v>
      </c>
      <c r="P422" s="12">
        <f t="shared" si="87"/>
        <v>0.11382113821138211</v>
      </c>
      <c r="Q422" s="13">
        <f t="shared" si="90"/>
        <v>3.8000000000000003</v>
      </c>
      <c r="R422" s="13">
        <f t="shared" si="91"/>
        <v>2.8</v>
      </c>
    </row>
    <row r="423" spans="1:18" ht="15.75" customHeight="1" x14ac:dyDescent="0.3">
      <c r="A423" s="7" t="s">
        <v>217</v>
      </c>
      <c r="B423" s="7" t="s">
        <v>120</v>
      </c>
      <c r="C423" s="24" t="s">
        <v>47</v>
      </c>
      <c r="D423" s="24" t="s">
        <v>48</v>
      </c>
      <c r="E423" s="8">
        <v>46113</v>
      </c>
      <c r="F423" s="8">
        <v>46117</v>
      </c>
      <c r="G423" s="9">
        <v>5</v>
      </c>
      <c r="H423" s="10">
        <v>42</v>
      </c>
      <c r="I423" s="10">
        <v>6</v>
      </c>
      <c r="J423" s="10">
        <v>6</v>
      </c>
      <c r="K423" s="11">
        <f t="shared" si="82"/>
        <v>8.4</v>
      </c>
      <c r="L423" s="11">
        <f t="shared" si="83"/>
        <v>1.2</v>
      </c>
      <c r="M423" s="12">
        <f t="shared" si="84"/>
        <v>0.14285714285714285</v>
      </c>
      <c r="N423" s="11">
        <f t="shared" si="85"/>
        <v>1.2</v>
      </c>
      <c r="O423" s="12">
        <f t="shared" si="86"/>
        <v>1</v>
      </c>
      <c r="P423" s="12">
        <f t="shared" si="87"/>
        <v>0.14285714285714285</v>
      </c>
      <c r="Q423" s="13">
        <f t="shared" si="90"/>
        <v>1.2</v>
      </c>
      <c r="R423" s="13">
        <f t="shared" si="91"/>
        <v>1.2</v>
      </c>
    </row>
    <row r="424" spans="1:18" ht="15.75" customHeight="1" x14ac:dyDescent="0.3">
      <c r="A424" s="7" t="s">
        <v>217</v>
      </c>
      <c r="B424" s="7" t="s">
        <v>216</v>
      </c>
      <c r="C424" s="24" t="s">
        <v>47</v>
      </c>
      <c r="D424" s="24" t="s">
        <v>53</v>
      </c>
      <c r="E424" s="8">
        <v>46113</v>
      </c>
      <c r="F424" s="8">
        <v>46117</v>
      </c>
      <c r="G424" s="9">
        <v>5</v>
      </c>
      <c r="H424" s="10">
        <v>151</v>
      </c>
      <c r="I424" s="10">
        <v>30</v>
      </c>
      <c r="J424" s="10">
        <v>20</v>
      </c>
      <c r="K424" s="11">
        <f t="shared" si="82"/>
        <v>30.2</v>
      </c>
      <c r="L424" s="11">
        <f t="shared" si="83"/>
        <v>6</v>
      </c>
      <c r="M424" s="12">
        <f t="shared" si="84"/>
        <v>0.19867549668874171</v>
      </c>
      <c r="N424" s="11">
        <f t="shared" si="85"/>
        <v>4</v>
      </c>
      <c r="O424" s="12">
        <f t="shared" si="86"/>
        <v>0.66666666666666663</v>
      </c>
      <c r="P424" s="12">
        <f t="shared" si="87"/>
        <v>0.13245033112582782</v>
      </c>
      <c r="Q424" s="13">
        <f t="shared" si="90"/>
        <v>5.9999999999999991</v>
      </c>
      <c r="R424" s="13">
        <f t="shared" si="91"/>
        <v>4</v>
      </c>
    </row>
    <row r="425" spans="1:18" ht="15.75" customHeight="1" x14ac:dyDescent="0.3">
      <c r="A425" s="7" t="s">
        <v>217</v>
      </c>
      <c r="B425" s="7" t="s">
        <v>128</v>
      </c>
      <c r="C425" s="24" t="s">
        <v>58</v>
      </c>
      <c r="D425" s="24" t="s">
        <v>61</v>
      </c>
      <c r="E425" s="8">
        <v>46113</v>
      </c>
      <c r="F425" s="8">
        <v>46117</v>
      </c>
      <c r="G425" s="9">
        <v>5</v>
      </c>
      <c r="H425" s="10">
        <v>29</v>
      </c>
      <c r="I425" s="10">
        <v>7</v>
      </c>
      <c r="J425" s="10">
        <v>4</v>
      </c>
      <c r="K425" s="11">
        <f t="shared" si="82"/>
        <v>5.8</v>
      </c>
      <c r="L425" s="11">
        <f t="shared" si="83"/>
        <v>1.4</v>
      </c>
      <c r="M425" s="12">
        <f t="shared" si="84"/>
        <v>0.2413793103448276</v>
      </c>
      <c r="N425" s="11">
        <f t="shared" si="85"/>
        <v>0.8</v>
      </c>
      <c r="O425" s="12">
        <f t="shared" si="86"/>
        <v>0.5714285714285714</v>
      </c>
      <c r="P425" s="12">
        <f t="shared" si="87"/>
        <v>0.13793103448275862</v>
      </c>
      <c r="Q425" s="13">
        <f t="shared" si="90"/>
        <v>1.4</v>
      </c>
      <c r="R425" s="13">
        <f t="shared" si="91"/>
        <v>0.79999999999999993</v>
      </c>
    </row>
    <row r="426" spans="1:18" ht="15.75" customHeight="1" x14ac:dyDescent="0.3">
      <c r="A426" s="7" t="s">
        <v>217</v>
      </c>
      <c r="B426" s="7" t="s">
        <v>105</v>
      </c>
      <c r="C426" s="24" t="s">
        <v>58</v>
      </c>
      <c r="D426" s="24" t="s">
        <v>61</v>
      </c>
      <c r="E426" s="8">
        <v>46113</v>
      </c>
      <c r="F426" s="8">
        <v>46117</v>
      </c>
      <c r="G426" s="9">
        <v>5</v>
      </c>
      <c r="H426" s="10"/>
      <c r="I426" s="10"/>
      <c r="J426" s="10"/>
      <c r="K426" s="11">
        <f t="shared" si="82"/>
        <v>0</v>
      </c>
      <c r="L426" s="11">
        <f t="shared" si="83"/>
        <v>0</v>
      </c>
      <c r="M426" s="12" t="str">
        <f t="shared" si="84"/>
        <v/>
      </c>
      <c r="N426" s="11">
        <f t="shared" si="85"/>
        <v>0</v>
      </c>
      <c r="O426" s="12" t="str">
        <f t="shared" si="86"/>
        <v/>
      </c>
      <c r="P426" s="12" t="str">
        <f t="shared" si="87"/>
        <v/>
      </c>
    </row>
    <row r="427" spans="1:18" ht="15.75" customHeight="1" x14ac:dyDescent="0.3">
      <c r="A427" s="7" t="s">
        <v>217</v>
      </c>
      <c r="B427" s="7" t="s">
        <v>209</v>
      </c>
      <c r="C427" s="24" t="s">
        <v>58</v>
      </c>
      <c r="D427" s="24" t="s">
        <v>107</v>
      </c>
      <c r="E427" s="8">
        <v>46113</v>
      </c>
      <c r="F427" s="8">
        <v>46117</v>
      </c>
      <c r="G427" s="9">
        <v>5</v>
      </c>
      <c r="H427" s="10">
        <v>96</v>
      </c>
      <c r="I427" s="10">
        <v>32</v>
      </c>
      <c r="J427" s="10">
        <v>22</v>
      </c>
      <c r="K427" s="11">
        <f t="shared" si="82"/>
        <v>19.2</v>
      </c>
      <c r="L427" s="11">
        <f t="shared" si="83"/>
        <v>6.4</v>
      </c>
      <c r="M427" s="12">
        <f t="shared" si="84"/>
        <v>0.33333333333333331</v>
      </c>
      <c r="N427" s="11">
        <f t="shared" si="85"/>
        <v>4.4000000000000004</v>
      </c>
      <c r="O427" s="12">
        <f t="shared" si="86"/>
        <v>0.6875</v>
      </c>
      <c r="P427" s="12">
        <f t="shared" si="87"/>
        <v>0.22916666666666666</v>
      </c>
      <c r="Q427" s="13">
        <f t="shared" ref="Q427:Q449" si="92">IFERROR((I427/H427)*K427,"")</f>
        <v>6.3999999999999995</v>
      </c>
      <c r="R427" s="13">
        <f t="shared" ref="R427:R449" si="93">IFERROR((J427/H427)*K427,"")</f>
        <v>4.3999999999999995</v>
      </c>
    </row>
    <row r="428" spans="1:18" ht="15.75" customHeight="1" x14ac:dyDescent="0.3">
      <c r="A428" s="7" t="s">
        <v>234</v>
      </c>
      <c r="B428" s="7" t="s">
        <v>170</v>
      </c>
      <c r="C428" s="24" t="s">
        <v>34</v>
      </c>
      <c r="D428" s="24" t="s">
        <v>35</v>
      </c>
      <c r="E428" s="8">
        <v>46120</v>
      </c>
      <c r="F428" s="8">
        <v>46127</v>
      </c>
      <c r="G428" s="9">
        <v>8</v>
      </c>
      <c r="H428" s="10">
        <v>923</v>
      </c>
      <c r="I428" s="10">
        <v>332</v>
      </c>
      <c r="J428" s="10">
        <v>181</v>
      </c>
      <c r="K428" s="11">
        <f t="shared" si="82"/>
        <v>115.375</v>
      </c>
      <c r="L428" s="11">
        <f t="shared" si="83"/>
        <v>41.5</v>
      </c>
      <c r="M428" s="12">
        <f t="shared" si="84"/>
        <v>0.35969664138678226</v>
      </c>
      <c r="N428" s="11">
        <f t="shared" si="85"/>
        <v>22.625</v>
      </c>
      <c r="O428" s="12">
        <f t="shared" si="86"/>
        <v>0.54518072289156627</v>
      </c>
      <c r="P428" s="12">
        <f t="shared" si="87"/>
        <v>0.19609967497291442</v>
      </c>
      <c r="Q428" s="13">
        <f t="shared" si="92"/>
        <v>41.5</v>
      </c>
      <c r="R428" s="13">
        <f t="shared" si="93"/>
        <v>22.625</v>
      </c>
    </row>
    <row r="429" spans="1:18" ht="15.75" customHeight="1" x14ac:dyDescent="0.3">
      <c r="A429" s="7" t="s">
        <v>234</v>
      </c>
      <c r="B429" s="7" t="s">
        <v>207</v>
      </c>
      <c r="C429" s="24" t="s">
        <v>34</v>
      </c>
      <c r="D429" s="24" t="s">
        <v>35</v>
      </c>
      <c r="E429" s="8">
        <v>46120</v>
      </c>
      <c r="F429" s="8">
        <v>46127</v>
      </c>
      <c r="G429" s="9">
        <v>8</v>
      </c>
      <c r="H429" s="10">
        <v>113</v>
      </c>
      <c r="I429" s="10">
        <v>15</v>
      </c>
      <c r="J429" s="10">
        <v>10</v>
      </c>
      <c r="K429" s="11">
        <f t="shared" si="82"/>
        <v>14.125</v>
      </c>
      <c r="L429" s="11">
        <f t="shared" si="83"/>
        <v>1.875</v>
      </c>
      <c r="M429" s="12">
        <f t="shared" si="84"/>
        <v>0.13274336283185842</v>
      </c>
      <c r="N429" s="11">
        <f t="shared" si="85"/>
        <v>1.25</v>
      </c>
      <c r="O429" s="12">
        <f t="shared" si="86"/>
        <v>0.66666666666666663</v>
      </c>
      <c r="P429" s="12">
        <f t="shared" si="87"/>
        <v>8.8495575221238937E-2</v>
      </c>
      <c r="Q429" s="13">
        <f t="shared" si="92"/>
        <v>1.8750000000000002</v>
      </c>
      <c r="R429" s="13">
        <f t="shared" si="93"/>
        <v>1.25</v>
      </c>
    </row>
    <row r="430" spans="1:18" ht="15.75" customHeight="1" x14ac:dyDescent="0.3">
      <c r="A430" s="7" t="s">
        <v>234</v>
      </c>
      <c r="B430" s="7" t="s">
        <v>142</v>
      </c>
      <c r="C430" s="24" t="s">
        <v>34</v>
      </c>
      <c r="D430" s="24" t="s">
        <v>39</v>
      </c>
      <c r="E430" s="8">
        <v>46120</v>
      </c>
      <c r="F430" s="8">
        <v>46127</v>
      </c>
      <c r="G430" s="9">
        <v>8</v>
      </c>
      <c r="H430" s="10">
        <v>66</v>
      </c>
      <c r="I430" s="10">
        <v>9</v>
      </c>
      <c r="J430" s="10">
        <v>6</v>
      </c>
      <c r="K430" s="11">
        <f t="shared" si="82"/>
        <v>8.25</v>
      </c>
      <c r="L430" s="11">
        <f t="shared" si="83"/>
        <v>1.125</v>
      </c>
      <c r="M430" s="12">
        <f t="shared" si="84"/>
        <v>0.13636363636363635</v>
      </c>
      <c r="N430" s="11">
        <f t="shared" si="85"/>
        <v>0.75</v>
      </c>
      <c r="O430" s="12">
        <f t="shared" si="86"/>
        <v>0.66666666666666663</v>
      </c>
      <c r="P430" s="12">
        <f t="shared" si="87"/>
        <v>9.0909090909090912E-2</v>
      </c>
      <c r="Q430" s="13">
        <f t="shared" si="92"/>
        <v>1.125</v>
      </c>
      <c r="R430" s="13">
        <f t="shared" si="93"/>
        <v>0.75</v>
      </c>
    </row>
    <row r="431" spans="1:18" ht="15.75" customHeight="1" x14ac:dyDescent="0.3">
      <c r="A431" s="7" t="s">
        <v>234</v>
      </c>
      <c r="B431" s="7" t="s">
        <v>219</v>
      </c>
      <c r="C431" s="24" t="s">
        <v>34</v>
      </c>
      <c r="D431" s="24" t="s">
        <v>445</v>
      </c>
      <c r="E431" s="8">
        <v>46120</v>
      </c>
      <c r="F431" s="8">
        <v>46127</v>
      </c>
      <c r="G431" s="9">
        <v>8</v>
      </c>
      <c r="H431" s="10">
        <v>220</v>
      </c>
      <c r="I431" s="10">
        <v>25</v>
      </c>
      <c r="J431" s="10">
        <v>19</v>
      </c>
      <c r="K431" s="11">
        <f t="shared" si="82"/>
        <v>27.5</v>
      </c>
      <c r="L431" s="11">
        <f t="shared" si="83"/>
        <v>3.125</v>
      </c>
      <c r="M431" s="12">
        <f t="shared" si="84"/>
        <v>0.11363636363636363</v>
      </c>
      <c r="N431" s="11">
        <f t="shared" si="85"/>
        <v>2.375</v>
      </c>
      <c r="O431" s="12">
        <f t="shared" si="86"/>
        <v>0.76</v>
      </c>
      <c r="P431" s="12">
        <f t="shared" si="87"/>
        <v>8.6363636363636365E-2</v>
      </c>
      <c r="Q431" s="13">
        <f t="shared" si="92"/>
        <v>3.125</v>
      </c>
      <c r="R431" s="13">
        <f t="shared" si="93"/>
        <v>2.375</v>
      </c>
    </row>
    <row r="432" spans="1:18" ht="15.75" customHeight="1" x14ac:dyDescent="0.3">
      <c r="A432" s="7" t="s">
        <v>234</v>
      </c>
      <c r="B432" s="7" t="s">
        <v>46</v>
      </c>
      <c r="C432" s="24" t="s">
        <v>47</v>
      </c>
      <c r="D432" s="24" t="s">
        <v>48</v>
      </c>
      <c r="E432" s="8">
        <v>46120</v>
      </c>
      <c r="F432" s="8">
        <v>46127</v>
      </c>
      <c r="G432" s="9">
        <v>8</v>
      </c>
      <c r="H432" s="10">
        <v>1338</v>
      </c>
      <c r="I432" s="10">
        <v>477</v>
      </c>
      <c r="J432" s="10">
        <v>353</v>
      </c>
      <c r="K432" s="11">
        <f t="shared" si="82"/>
        <v>167.25</v>
      </c>
      <c r="L432" s="11">
        <f t="shared" si="83"/>
        <v>59.625</v>
      </c>
      <c r="M432" s="12">
        <f t="shared" si="84"/>
        <v>0.35650224215246634</v>
      </c>
      <c r="N432" s="11">
        <f t="shared" si="85"/>
        <v>44.125</v>
      </c>
      <c r="O432" s="12">
        <f t="shared" si="86"/>
        <v>0.74004192872117402</v>
      </c>
      <c r="P432" s="12">
        <f t="shared" si="87"/>
        <v>0.26382660687593423</v>
      </c>
      <c r="Q432" s="13">
        <f t="shared" si="92"/>
        <v>59.624999999999993</v>
      </c>
      <c r="R432" s="13">
        <f t="shared" si="93"/>
        <v>44.125</v>
      </c>
    </row>
    <row r="433" spans="1:18" ht="15.75" customHeight="1" x14ac:dyDescent="0.3">
      <c r="A433" s="7" t="s">
        <v>234</v>
      </c>
      <c r="B433" s="7" t="s">
        <v>49</v>
      </c>
      <c r="C433" s="24" t="s">
        <v>47</v>
      </c>
      <c r="D433" s="24" t="s">
        <v>48</v>
      </c>
      <c r="E433" s="8">
        <v>46120</v>
      </c>
      <c r="F433" s="8">
        <v>46127</v>
      </c>
      <c r="G433" s="9">
        <v>8</v>
      </c>
      <c r="H433" s="10">
        <v>49</v>
      </c>
      <c r="I433" s="10">
        <v>15</v>
      </c>
      <c r="J433" s="10">
        <v>8</v>
      </c>
      <c r="K433" s="11">
        <f t="shared" si="82"/>
        <v>6.125</v>
      </c>
      <c r="L433" s="11">
        <f t="shared" si="83"/>
        <v>1.875</v>
      </c>
      <c r="M433" s="12">
        <f t="shared" si="84"/>
        <v>0.30612244897959184</v>
      </c>
      <c r="N433" s="11">
        <f t="shared" si="85"/>
        <v>1</v>
      </c>
      <c r="O433" s="12">
        <f t="shared" si="86"/>
        <v>0.53333333333333333</v>
      </c>
      <c r="P433" s="12">
        <f t="shared" si="87"/>
        <v>0.16326530612244897</v>
      </c>
      <c r="Q433" s="13">
        <f t="shared" si="92"/>
        <v>1.875</v>
      </c>
      <c r="R433" s="13">
        <f t="shared" si="93"/>
        <v>0.99999999999999989</v>
      </c>
    </row>
    <row r="434" spans="1:18" ht="15.75" customHeight="1" x14ac:dyDescent="0.3">
      <c r="A434" s="7" t="s">
        <v>234</v>
      </c>
      <c r="B434" s="7" t="s">
        <v>50</v>
      </c>
      <c r="C434" s="24" t="s">
        <v>47</v>
      </c>
      <c r="D434" s="24" t="s">
        <v>48</v>
      </c>
      <c r="E434" s="8">
        <v>46120</v>
      </c>
      <c r="F434" s="8">
        <v>46127</v>
      </c>
      <c r="G434" s="9">
        <v>8</v>
      </c>
      <c r="H434" s="10">
        <v>568</v>
      </c>
      <c r="I434" s="10">
        <v>128</v>
      </c>
      <c r="J434" s="10">
        <v>110</v>
      </c>
      <c r="K434" s="11">
        <f t="shared" si="82"/>
        <v>71</v>
      </c>
      <c r="L434" s="11">
        <f t="shared" si="83"/>
        <v>16</v>
      </c>
      <c r="M434" s="12">
        <f t="shared" si="84"/>
        <v>0.22535211267605634</v>
      </c>
      <c r="N434" s="11">
        <f t="shared" si="85"/>
        <v>13.75</v>
      </c>
      <c r="O434" s="12">
        <f t="shared" si="86"/>
        <v>0.859375</v>
      </c>
      <c r="P434" s="12">
        <f t="shared" si="87"/>
        <v>0.19366197183098591</v>
      </c>
      <c r="Q434" s="13">
        <f t="shared" si="92"/>
        <v>16</v>
      </c>
      <c r="R434" s="13">
        <f t="shared" si="93"/>
        <v>13.75</v>
      </c>
    </row>
    <row r="435" spans="1:18" ht="15.75" customHeight="1" x14ac:dyDescent="0.3">
      <c r="A435" s="7" t="s">
        <v>234</v>
      </c>
      <c r="B435" s="7" t="s">
        <v>51</v>
      </c>
      <c r="C435" s="24" t="s">
        <v>47</v>
      </c>
      <c r="D435" s="24" t="s">
        <v>48</v>
      </c>
      <c r="E435" s="8">
        <v>46120</v>
      </c>
      <c r="F435" s="8">
        <v>46127</v>
      </c>
      <c r="G435" s="9">
        <v>8</v>
      </c>
      <c r="H435" s="10">
        <v>19</v>
      </c>
      <c r="I435" s="10">
        <v>4</v>
      </c>
      <c r="J435" s="10">
        <v>4</v>
      </c>
      <c r="K435" s="11">
        <f t="shared" si="82"/>
        <v>2.375</v>
      </c>
      <c r="L435" s="11">
        <f t="shared" si="83"/>
        <v>0.5</v>
      </c>
      <c r="M435" s="12">
        <f t="shared" si="84"/>
        <v>0.21052631578947367</v>
      </c>
      <c r="N435" s="11">
        <f t="shared" si="85"/>
        <v>0.5</v>
      </c>
      <c r="O435" s="12">
        <f t="shared" si="86"/>
        <v>1</v>
      </c>
      <c r="P435" s="12">
        <f t="shared" si="87"/>
        <v>0.21052631578947367</v>
      </c>
      <c r="Q435" s="13">
        <f t="shared" si="92"/>
        <v>0.5</v>
      </c>
      <c r="R435" s="13">
        <f t="shared" si="93"/>
        <v>0.5</v>
      </c>
    </row>
    <row r="436" spans="1:18" ht="15.75" customHeight="1" x14ac:dyDescent="0.3">
      <c r="A436" s="7" t="s">
        <v>234</v>
      </c>
      <c r="B436" s="7" t="s">
        <v>54</v>
      </c>
      <c r="C436" s="24" t="s">
        <v>47</v>
      </c>
      <c r="D436" s="24" t="s">
        <v>53</v>
      </c>
      <c r="E436" s="8">
        <v>46120</v>
      </c>
      <c r="F436" s="8">
        <v>46127</v>
      </c>
      <c r="G436" s="9">
        <v>8</v>
      </c>
      <c r="H436" s="10">
        <v>506</v>
      </c>
      <c r="I436" s="10">
        <v>200</v>
      </c>
      <c r="J436" s="10">
        <v>154</v>
      </c>
      <c r="K436" s="11">
        <f t="shared" si="82"/>
        <v>63.25</v>
      </c>
      <c r="L436" s="11">
        <f t="shared" si="83"/>
        <v>25</v>
      </c>
      <c r="M436" s="12">
        <f t="shared" si="84"/>
        <v>0.39525691699604742</v>
      </c>
      <c r="N436" s="11">
        <f t="shared" si="85"/>
        <v>19.25</v>
      </c>
      <c r="O436" s="12">
        <f t="shared" si="86"/>
        <v>0.77</v>
      </c>
      <c r="P436" s="12">
        <f t="shared" si="87"/>
        <v>0.30434782608695654</v>
      </c>
      <c r="Q436" s="13">
        <f t="shared" si="92"/>
        <v>25</v>
      </c>
      <c r="R436" s="13">
        <f t="shared" si="93"/>
        <v>19.25</v>
      </c>
    </row>
    <row r="437" spans="1:18" ht="15.75" customHeight="1" x14ac:dyDescent="0.3">
      <c r="A437" s="7" t="s">
        <v>234</v>
      </c>
      <c r="B437" s="7" t="s">
        <v>60</v>
      </c>
      <c r="C437" s="24" t="s">
        <v>58</v>
      </c>
      <c r="D437" s="24" t="s">
        <v>61</v>
      </c>
      <c r="E437" s="8">
        <v>46120</v>
      </c>
      <c r="F437" s="8">
        <v>46127</v>
      </c>
      <c r="G437" s="9">
        <v>8</v>
      </c>
      <c r="H437" s="10">
        <v>516</v>
      </c>
      <c r="I437" s="10">
        <v>164</v>
      </c>
      <c r="J437" s="10">
        <v>114</v>
      </c>
      <c r="K437" s="11">
        <f t="shared" si="82"/>
        <v>64.5</v>
      </c>
      <c r="L437" s="11">
        <f t="shared" si="83"/>
        <v>20.5</v>
      </c>
      <c r="M437" s="12">
        <f t="shared" si="84"/>
        <v>0.31782945736434109</v>
      </c>
      <c r="N437" s="11">
        <f t="shared" si="85"/>
        <v>14.25</v>
      </c>
      <c r="O437" s="12">
        <f t="shared" si="86"/>
        <v>0.69512195121951215</v>
      </c>
      <c r="P437" s="12">
        <f t="shared" si="87"/>
        <v>0.22093023255813954</v>
      </c>
      <c r="Q437" s="13">
        <f t="shared" si="92"/>
        <v>20.5</v>
      </c>
      <c r="R437" s="13">
        <f t="shared" si="93"/>
        <v>14.25</v>
      </c>
    </row>
    <row r="438" spans="1:18" ht="15.75" customHeight="1" x14ac:dyDescent="0.3">
      <c r="A438" s="7" t="s">
        <v>234</v>
      </c>
      <c r="B438" s="7" t="s">
        <v>235</v>
      </c>
      <c r="C438" s="24" t="s">
        <v>58</v>
      </c>
      <c r="D438" s="24" t="s">
        <v>107</v>
      </c>
      <c r="E438" s="8">
        <v>46120</v>
      </c>
      <c r="F438" s="8">
        <v>46127</v>
      </c>
      <c r="G438" s="9">
        <v>8</v>
      </c>
      <c r="H438" s="10">
        <v>122</v>
      </c>
      <c r="I438" s="10">
        <v>54</v>
      </c>
      <c r="J438" s="10">
        <v>43</v>
      </c>
      <c r="K438" s="11">
        <f t="shared" si="82"/>
        <v>15.25</v>
      </c>
      <c r="L438" s="11">
        <f t="shared" si="83"/>
        <v>6.75</v>
      </c>
      <c r="M438" s="12">
        <f t="shared" si="84"/>
        <v>0.44262295081967212</v>
      </c>
      <c r="N438" s="11">
        <f t="shared" si="85"/>
        <v>5.375</v>
      </c>
      <c r="O438" s="12">
        <f t="shared" si="86"/>
        <v>0.79629629629629628</v>
      </c>
      <c r="P438" s="12">
        <f t="shared" si="87"/>
        <v>0.35245901639344263</v>
      </c>
      <c r="Q438" s="13">
        <f t="shared" si="92"/>
        <v>6.75</v>
      </c>
      <c r="R438" s="13">
        <f t="shared" si="93"/>
        <v>5.375</v>
      </c>
    </row>
    <row r="439" spans="1:18" ht="15.75" customHeight="1" x14ac:dyDescent="0.3">
      <c r="A439" s="7" t="s">
        <v>234</v>
      </c>
      <c r="B439" s="7" t="s">
        <v>236</v>
      </c>
      <c r="C439" s="24" t="s">
        <v>58</v>
      </c>
      <c r="D439" s="24" t="s">
        <v>61</v>
      </c>
      <c r="E439" s="8">
        <v>46120</v>
      </c>
      <c r="F439" s="8">
        <v>46127</v>
      </c>
      <c r="G439" s="9">
        <v>8</v>
      </c>
      <c r="H439" s="10">
        <v>304</v>
      </c>
      <c r="I439" s="10">
        <v>59</v>
      </c>
      <c r="J439" s="10">
        <v>48</v>
      </c>
      <c r="K439" s="11">
        <f t="shared" si="82"/>
        <v>38</v>
      </c>
      <c r="L439" s="11">
        <f t="shared" si="83"/>
        <v>7.375</v>
      </c>
      <c r="M439" s="12">
        <f t="shared" si="84"/>
        <v>0.19407894736842105</v>
      </c>
      <c r="N439" s="11">
        <f t="shared" si="85"/>
        <v>6</v>
      </c>
      <c r="O439" s="12">
        <f t="shared" si="86"/>
        <v>0.81355932203389836</v>
      </c>
      <c r="P439" s="12">
        <f t="shared" si="87"/>
        <v>0.15789473684210525</v>
      </c>
      <c r="Q439" s="13">
        <f t="shared" si="92"/>
        <v>7.375</v>
      </c>
      <c r="R439" s="13">
        <f t="shared" si="93"/>
        <v>6</v>
      </c>
    </row>
    <row r="440" spans="1:18" ht="15.75" customHeight="1" x14ac:dyDescent="0.3">
      <c r="A440" s="7" t="s">
        <v>234</v>
      </c>
      <c r="B440" s="7" t="s">
        <v>237</v>
      </c>
      <c r="C440" s="24" t="s">
        <v>58</v>
      </c>
      <c r="D440" s="24" t="s">
        <v>107</v>
      </c>
      <c r="E440" s="8">
        <v>46120</v>
      </c>
      <c r="F440" s="8">
        <v>46127</v>
      </c>
      <c r="G440" s="9">
        <v>8</v>
      </c>
      <c r="H440" s="10">
        <v>60</v>
      </c>
      <c r="I440" s="10">
        <v>24</v>
      </c>
      <c r="J440" s="10">
        <v>18</v>
      </c>
      <c r="K440" s="11">
        <f t="shared" ref="K440:K503" si="94">IFERROR(H440/G440,"")</f>
        <v>7.5</v>
      </c>
      <c r="L440" s="11">
        <f t="shared" ref="L440:L503" si="95">IFERROR(I440/G440,"")</f>
        <v>3</v>
      </c>
      <c r="M440" s="12">
        <f t="shared" ref="M440:M503" si="96">IFERROR(I440/H440,"")</f>
        <v>0.4</v>
      </c>
      <c r="N440" s="11">
        <f t="shared" ref="N440:N503" si="97">IFERROR(J440/G440,"")</f>
        <v>2.25</v>
      </c>
      <c r="O440" s="12">
        <f t="shared" ref="O440:O503" si="98">IFERROR(J440/I440,"")</f>
        <v>0.75</v>
      </c>
      <c r="P440" s="12">
        <f t="shared" ref="P440:P503" si="99">IFERROR(J440/H440,"")</f>
        <v>0.3</v>
      </c>
      <c r="Q440" s="13">
        <f t="shared" si="92"/>
        <v>3</v>
      </c>
      <c r="R440" s="13">
        <f t="shared" si="93"/>
        <v>2.25</v>
      </c>
    </row>
    <row r="441" spans="1:18" ht="15.75" customHeight="1" x14ac:dyDescent="0.3">
      <c r="A441" s="7" t="s">
        <v>234</v>
      </c>
      <c r="B441" s="7" t="s">
        <v>86</v>
      </c>
      <c r="C441" s="24" t="s">
        <v>58</v>
      </c>
      <c r="D441" s="24" t="s">
        <v>64</v>
      </c>
      <c r="E441" s="8">
        <v>46120</v>
      </c>
      <c r="F441" s="8">
        <v>46127</v>
      </c>
      <c r="G441" s="9">
        <v>8</v>
      </c>
      <c r="H441" s="10">
        <v>25</v>
      </c>
      <c r="I441" s="10">
        <v>9</v>
      </c>
      <c r="J441" s="10">
        <v>8</v>
      </c>
      <c r="K441" s="11">
        <f t="shared" si="94"/>
        <v>3.125</v>
      </c>
      <c r="L441" s="11">
        <f t="shared" si="95"/>
        <v>1.125</v>
      </c>
      <c r="M441" s="12">
        <f t="shared" si="96"/>
        <v>0.36</v>
      </c>
      <c r="N441" s="11">
        <f t="shared" si="97"/>
        <v>1</v>
      </c>
      <c r="O441" s="12">
        <f t="shared" si="98"/>
        <v>0.88888888888888884</v>
      </c>
      <c r="P441" s="12">
        <f t="shared" si="99"/>
        <v>0.32</v>
      </c>
      <c r="Q441" s="13">
        <f t="shared" si="92"/>
        <v>1.125</v>
      </c>
      <c r="R441" s="13">
        <f t="shared" si="93"/>
        <v>1</v>
      </c>
    </row>
    <row r="442" spans="1:18" ht="15.75" customHeight="1" x14ac:dyDescent="0.3">
      <c r="A442" s="7" t="s">
        <v>234</v>
      </c>
      <c r="B442" s="7" t="s">
        <v>87</v>
      </c>
      <c r="C442" s="24" t="s">
        <v>58</v>
      </c>
      <c r="D442" s="24" t="s">
        <v>64</v>
      </c>
      <c r="E442" s="8">
        <v>46120</v>
      </c>
      <c r="F442" s="8">
        <v>46127</v>
      </c>
      <c r="G442" s="9">
        <v>8</v>
      </c>
      <c r="H442" s="10">
        <v>3</v>
      </c>
      <c r="I442" s="10">
        <v>1</v>
      </c>
      <c r="J442" s="10">
        <v>0</v>
      </c>
      <c r="K442" s="11">
        <f t="shared" si="94"/>
        <v>0.375</v>
      </c>
      <c r="L442" s="11">
        <f t="shared" si="95"/>
        <v>0.125</v>
      </c>
      <c r="M442" s="12">
        <f t="shared" si="96"/>
        <v>0.33333333333333331</v>
      </c>
      <c r="N442" s="11">
        <f t="shared" si="97"/>
        <v>0</v>
      </c>
      <c r="O442" s="12">
        <f t="shared" si="98"/>
        <v>0</v>
      </c>
      <c r="P442" s="12">
        <f t="shared" si="99"/>
        <v>0</v>
      </c>
      <c r="Q442" s="13">
        <f t="shared" si="92"/>
        <v>0.125</v>
      </c>
      <c r="R442" s="13">
        <f t="shared" si="93"/>
        <v>0</v>
      </c>
    </row>
    <row r="443" spans="1:18" ht="15.75" customHeight="1" x14ac:dyDescent="0.3">
      <c r="A443" s="7" t="s">
        <v>234</v>
      </c>
      <c r="B443" s="7" t="s">
        <v>63</v>
      </c>
      <c r="C443" s="24" t="s">
        <v>58</v>
      </c>
      <c r="D443" s="24" t="s">
        <v>64</v>
      </c>
      <c r="E443" s="8">
        <v>46120</v>
      </c>
      <c r="F443" s="8">
        <v>46127</v>
      </c>
      <c r="G443" s="9">
        <v>8</v>
      </c>
      <c r="H443" s="10">
        <v>47</v>
      </c>
      <c r="I443" s="10">
        <v>20</v>
      </c>
      <c r="J443" s="10">
        <v>15</v>
      </c>
      <c r="K443" s="11">
        <f t="shared" si="94"/>
        <v>5.875</v>
      </c>
      <c r="L443" s="11">
        <f t="shared" si="95"/>
        <v>2.5</v>
      </c>
      <c r="M443" s="12">
        <f t="shared" si="96"/>
        <v>0.42553191489361702</v>
      </c>
      <c r="N443" s="11">
        <f t="shared" si="97"/>
        <v>1.875</v>
      </c>
      <c r="O443" s="12">
        <f t="shared" si="98"/>
        <v>0.75</v>
      </c>
      <c r="P443" s="12">
        <f t="shared" si="99"/>
        <v>0.31914893617021278</v>
      </c>
      <c r="Q443" s="13">
        <f t="shared" si="92"/>
        <v>2.5</v>
      </c>
      <c r="R443" s="13">
        <f t="shared" si="93"/>
        <v>1.875</v>
      </c>
    </row>
    <row r="444" spans="1:18" ht="15.75" customHeight="1" x14ac:dyDescent="0.3">
      <c r="A444" s="7" t="s">
        <v>234</v>
      </c>
      <c r="B444" s="7" t="s">
        <v>195</v>
      </c>
      <c r="C444" s="24" t="s">
        <v>58</v>
      </c>
      <c r="D444" s="24" t="s">
        <v>444</v>
      </c>
      <c r="E444" s="8">
        <v>46120</v>
      </c>
      <c r="F444" s="8">
        <v>46127</v>
      </c>
      <c r="G444" s="9">
        <v>8</v>
      </c>
      <c r="H444" s="10">
        <v>111</v>
      </c>
      <c r="I444" s="10">
        <v>38</v>
      </c>
      <c r="J444" s="10">
        <v>22</v>
      </c>
      <c r="K444" s="11">
        <f t="shared" si="94"/>
        <v>13.875</v>
      </c>
      <c r="L444" s="11">
        <f t="shared" si="95"/>
        <v>4.75</v>
      </c>
      <c r="M444" s="12">
        <f t="shared" si="96"/>
        <v>0.34234234234234234</v>
      </c>
      <c r="N444" s="11">
        <f t="shared" si="97"/>
        <v>2.75</v>
      </c>
      <c r="O444" s="12">
        <f t="shared" si="98"/>
        <v>0.57894736842105265</v>
      </c>
      <c r="P444" s="12">
        <f t="shared" si="99"/>
        <v>0.1981981981981982</v>
      </c>
      <c r="Q444" s="13">
        <f t="shared" si="92"/>
        <v>4.75</v>
      </c>
      <c r="R444" s="13">
        <f t="shared" si="93"/>
        <v>2.75</v>
      </c>
    </row>
    <row r="445" spans="1:18" ht="15.75" customHeight="1" x14ac:dyDescent="0.3">
      <c r="A445" s="7" t="s">
        <v>234</v>
      </c>
      <c r="B445" s="7" t="s">
        <v>196</v>
      </c>
      <c r="C445" s="24" t="s">
        <v>58</v>
      </c>
      <c r="D445" s="24" t="s">
        <v>66</v>
      </c>
      <c r="E445" s="8">
        <v>46120</v>
      </c>
      <c r="F445" s="8">
        <v>46127</v>
      </c>
      <c r="G445" s="9">
        <v>8</v>
      </c>
      <c r="H445" s="10">
        <v>385</v>
      </c>
      <c r="I445" s="10">
        <v>113</v>
      </c>
      <c r="J445" s="10">
        <v>62</v>
      </c>
      <c r="K445" s="11">
        <f t="shared" si="94"/>
        <v>48.125</v>
      </c>
      <c r="L445" s="11">
        <f t="shared" si="95"/>
        <v>14.125</v>
      </c>
      <c r="M445" s="12">
        <f t="shared" si="96"/>
        <v>0.29350649350649349</v>
      </c>
      <c r="N445" s="11">
        <f t="shared" si="97"/>
        <v>7.75</v>
      </c>
      <c r="O445" s="12">
        <f t="shared" si="98"/>
        <v>0.54867256637168138</v>
      </c>
      <c r="P445" s="12">
        <f t="shared" si="99"/>
        <v>0.16103896103896104</v>
      </c>
      <c r="Q445" s="13">
        <f t="shared" si="92"/>
        <v>14.125</v>
      </c>
      <c r="R445" s="13">
        <f t="shared" si="93"/>
        <v>7.75</v>
      </c>
    </row>
    <row r="446" spans="1:18" ht="15.75" customHeight="1" x14ac:dyDescent="0.3">
      <c r="A446" s="7" t="s">
        <v>234</v>
      </c>
      <c r="B446" s="7" t="s">
        <v>197</v>
      </c>
      <c r="C446" s="24" t="s">
        <v>58</v>
      </c>
      <c r="D446" s="24" t="s">
        <v>68</v>
      </c>
      <c r="E446" s="8">
        <v>46120</v>
      </c>
      <c r="F446" s="8">
        <v>46127</v>
      </c>
      <c r="G446" s="9">
        <v>8</v>
      </c>
      <c r="H446" s="10">
        <v>41</v>
      </c>
      <c r="I446" s="10">
        <v>19</v>
      </c>
      <c r="J446" s="10">
        <v>9</v>
      </c>
      <c r="K446" s="11">
        <f t="shared" si="94"/>
        <v>5.125</v>
      </c>
      <c r="L446" s="11">
        <f t="shared" si="95"/>
        <v>2.375</v>
      </c>
      <c r="M446" s="12">
        <f t="shared" si="96"/>
        <v>0.46341463414634149</v>
      </c>
      <c r="N446" s="11">
        <f t="shared" si="97"/>
        <v>1.125</v>
      </c>
      <c r="O446" s="12">
        <f t="shared" si="98"/>
        <v>0.47368421052631576</v>
      </c>
      <c r="P446" s="12">
        <f t="shared" si="99"/>
        <v>0.21951219512195122</v>
      </c>
      <c r="Q446" s="13">
        <f t="shared" si="92"/>
        <v>2.375</v>
      </c>
      <c r="R446" s="13">
        <f t="shared" si="93"/>
        <v>1.125</v>
      </c>
    </row>
    <row r="447" spans="1:18" ht="15.75" customHeight="1" x14ac:dyDescent="0.3">
      <c r="A447" s="7" t="s">
        <v>234</v>
      </c>
      <c r="B447" s="7" t="s">
        <v>71</v>
      </c>
      <c r="C447" s="24" t="s">
        <v>58</v>
      </c>
      <c r="D447" s="24" t="s">
        <v>66</v>
      </c>
      <c r="E447" s="8">
        <v>46120</v>
      </c>
      <c r="F447" s="8">
        <v>46127</v>
      </c>
      <c r="G447" s="9">
        <v>8</v>
      </c>
      <c r="H447" s="10">
        <v>136</v>
      </c>
      <c r="I447" s="10">
        <v>27</v>
      </c>
      <c r="J447" s="10">
        <v>21</v>
      </c>
      <c r="K447" s="11">
        <f t="shared" si="94"/>
        <v>17</v>
      </c>
      <c r="L447" s="11">
        <f t="shared" si="95"/>
        <v>3.375</v>
      </c>
      <c r="M447" s="12">
        <f t="shared" si="96"/>
        <v>0.19852941176470587</v>
      </c>
      <c r="N447" s="11">
        <f t="shared" si="97"/>
        <v>2.625</v>
      </c>
      <c r="O447" s="12">
        <f t="shared" si="98"/>
        <v>0.77777777777777779</v>
      </c>
      <c r="P447" s="12">
        <f t="shared" si="99"/>
        <v>0.15441176470588236</v>
      </c>
      <c r="Q447" s="13">
        <f t="shared" si="92"/>
        <v>3.375</v>
      </c>
      <c r="R447" s="13">
        <f t="shared" si="93"/>
        <v>2.625</v>
      </c>
    </row>
    <row r="448" spans="1:18" ht="15.75" customHeight="1" x14ac:dyDescent="0.3">
      <c r="A448" s="7" t="s">
        <v>234</v>
      </c>
      <c r="B448" s="7" t="s">
        <v>72</v>
      </c>
      <c r="C448" s="24" t="s">
        <v>58</v>
      </c>
      <c r="D448" s="24" t="s">
        <v>68</v>
      </c>
      <c r="E448" s="8">
        <v>46120</v>
      </c>
      <c r="F448" s="8">
        <v>46127</v>
      </c>
      <c r="G448" s="9">
        <v>8</v>
      </c>
      <c r="H448" s="10">
        <v>12</v>
      </c>
      <c r="I448" s="10">
        <v>5</v>
      </c>
      <c r="J448" s="10">
        <v>3</v>
      </c>
      <c r="K448" s="11">
        <f t="shared" si="94"/>
        <v>1.5</v>
      </c>
      <c r="L448" s="11">
        <f t="shared" si="95"/>
        <v>0.625</v>
      </c>
      <c r="M448" s="12">
        <f t="shared" si="96"/>
        <v>0.41666666666666669</v>
      </c>
      <c r="N448" s="11">
        <f t="shared" si="97"/>
        <v>0.375</v>
      </c>
      <c r="O448" s="12">
        <f t="shared" si="98"/>
        <v>0.6</v>
      </c>
      <c r="P448" s="12">
        <f t="shared" si="99"/>
        <v>0.25</v>
      </c>
      <c r="Q448" s="13">
        <f t="shared" si="92"/>
        <v>0.625</v>
      </c>
      <c r="R448" s="13">
        <f t="shared" si="93"/>
        <v>0.375</v>
      </c>
    </row>
    <row r="449" spans="1:18" ht="15.75" customHeight="1" x14ac:dyDescent="0.3">
      <c r="A449" s="7" t="s">
        <v>234</v>
      </c>
      <c r="B449" s="7" t="s">
        <v>167</v>
      </c>
      <c r="C449" s="24" t="s">
        <v>58</v>
      </c>
      <c r="D449" s="24" t="s">
        <v>66</v>
      </c>
      <c r="E449" s="8">
        <v>46120</v>
      </c>
      <c r="F449" s="8">
        <v>46127</v>
      </c>
      <c r="G449" s="9">
        <v>8</v>
      </c>
      <c r="H449" s="10">
        <v>112</v>
      </c>
      <c r="I449" s="10">
        <v>30</v>
      </c>
      <c r="J449" s="10">
        <v>16</v>
      </c>
      <c r="K449" s="11">
        <f t="shared" si="94"/>
        <v>14</v>
      </c>
      <c r="L449" s="11">
        <f t="shared" si="95"/>
        <v>3.75</v>
      </c>
      <c r="M449" s="12">
        <f t="shared" si="96"/>
        <v>0.26785714285714285</v>
      </c>
      <c r="N449" s="11">
        <f t="shared" si="97"/>
        <v>2</v>
      </c>
      <c r="O449" s="12">
        <f t="shared" si="98"/>
        <v>0.53333333333333333</v>
      </c>
      <c r="P449" s="12">
        <f t="shared" si="99"/>
        <v>0.14285714285714285</v>
      </c>
      <c r="Q449" s="13">
        <f t="shared" si="92"/>
        <v>3.75</v>
      </c>
      <c r="R449" s="13">
        <f t="shared" si="93"/>
        <v>2</v>
      </c>
    </row>
    <row r="450" spans="1:18" ht="15.75" customHeight="1" x14ac:dyDescent="0.3">
      <c r="A450" s="7" t="s">
        <v>234</v>
      </c>
      <c r="B450" s="7" t="s">
        <v>168</v>
      </c>
      <c r="C450" s="24" t="s">
        <v>58</v>
      </c>
      <c r="D450" s="24" t="s">
        <v>68</v>
      </c>
      <c r="E450" s="8">
        <v>46120</v>
      </c>
      <c r="F450" s="8">
        <v>46127</v>
      </c>
      <c r="G450" s="9">
        <v>8</v>
      </c>
      <c r="H450" s="10"/>
      <c r="I450" s="10"/>
      <c r="J450" s="10"/>
      <c r="K450" s="11">
        <f t="shared" si="94"/>
        <v>0</v>
      </c>
      <c r="L450" s="11">
        <f t="shared" si="95"/>
        <v>0</v>
      </c>
      <c r="M450" s="12" t="str">
        <f t="shared" si="96"/>
        <v/>
      </c>
      <c r="N450" s="11">
        <f t="shared" si="97"/>
        <v>0</v>
      </c>
      <c r="O450" s="12" t="str">
        <f t="shared" si="98"/>
        <v/>
      </c>
      <c r="P450" s="12" t="str">
        <f t="shared" si="99"/>
        <v/>
      </c>
    </row>
    <row r="451" spans="1:18" ht="15.75" customHeight="1" x14ac:dyDescent="0.3">
      <c r="A451" s="7" t="s">
        <v>234</v>
      </c>
      <c r="B451" s="7" t="s">
        <v>238</v>
      </c>
      <c r="C451" s="24" t="s">
        <v>58</v>
      </c>
      <c r="D451" s="24" t="s">
        <v>66</v>
      </c>
      <c r="E451" s="8">
        <v>46120</v>
      </c>
      <c r="F451" s="8">
        <v>46127</v>
      </c>
      <c r="G451" s="9">
        <v>8</v>
      </c>
      <c r="H451" s="10">
        <v>48</v>
      </c>
      <c r="I451" s="10">
        <v>15</v>
      </c>
      <c r="J451" s="10">
        <v>11</v>
      </c>
      <c r="K451" s="11">
        <f t="shared" si="94"/>
        <v>6</v>
      </c>
      <c r="L451" s="11">
        <f t="shared" si="95"/>
        <v>1.875</v>
      </c>
      <c r="M451" s="12">
        <f t="shared" si="96"/>
        <v>0.3125</v>
      </c>
      <c r="N451" s="11">
        <f t="shared" si="97"/>
        <v>1.375</v>
      </c>
      <c r="O451" s="12">
        <f t="shared" si="98"/>
        <v>0.73333333333333328</v>
      </c>
      <c r="P451" s="12">
        <f t="shared" si="99"/>
        <v>0.22916666666666666</v>
      </c>
      <c r="Q451" s="13">
        <f t="shared" ref="Q451:Q467" si="100">IFERROR((I451/H451)*K451,"")</f>
        <v>1.875</v>
      </c>
      <c r="R451" s="13">
        <f t="shared" ref="R451:R467" si="101">IFERROR((J451/H451)*K451,"")</f>
        <v>1.375</v>
      </c>
    </row>
    <row r="452" spans="1:18" ht="15.75" customHeight="1" x14ac:dyDescent="0.3">
      <c r="A452" s="7" t="s">
        <v>234</v>
      </c>
      <c r="B452" s="7" t="s">
        <v>155</v>
      </c>
      <c r="C452" s="24" t="s">
        <v>58</v>
      </c>
      <c r="D452" s="24" t="s">
        <v>59</v>
      </c>
      <c r="E452" s="8">
        <v>46120</v>
      </c>
      <c r="F452" s="8">
        <v>46127</v>
      </c>
      <c r="G452" s="9">
        <v>8</v>
      </c>
      <c r="H452" s="10">
        <v>27</v>
      </c>
      <c r="I452" s="10">
        <v>10</v>
      </c>
      <c r="J452" s="10">
        <v>8</v>
      </c>
      <c r="K452" s="11">
        <f t="shared" si="94"/>
        <v>3.375</v>
      </c>
      <c r="L452" s="11">
        <f t="shared" si="95"/>
        <v>1.25</v>
      </c>
      <c r="M452" s="12">
        <f t="shared" si="96"/>
        <v>0.37037037037037035</v>
      </c>
      <c r="N452" s="11">
        <f t="shared" si="97"/>
        <v>1</v>
      </c>
      <c r="O452" s="12">
        <f t="shared" si="98"/>
        <v>0.8</v>
      </c>
      <c r="P452" s="12">
        <f t="shared" si="99"/>
        <v>0.29629629629629628</v>
      </c>
      <c r="Q452" s="13">
        <f t="shared" si="100"/>
        <v>1.25</v>
      </c>
      <c r="R452" s="13">
        <f t="shared" si="101"/>
        <v>1</v>
      </c>
    </row>
    <row r="453" spans="1:18" ht="15.75" customHeight="1" x14ac:dyDescent="0.3">
      <c r="A453" s="7" t="s">
        <v>234</v>
      </c>
      <c r="B453" s="7" t="s">
        <v>78</v>
      </c>
      <c r="C453" s="24" t="s">
        <v>34</v>
      </c>
      <c r="D453" s="24" t="s">
        <v>35</v>
      </c>
      <c r="E453" s="8">
        <v>46120</v>
      </c>
      <c r="F453" s="8">
        <v>46127</v>
      </c>
      <c r="G453" s="9">
        <v>8</v>
      </c>
      <c r="H453" s="10">
        <v>229</v>
      </c>
      <c r="I453" s="10">
        <v>71</v>
      </c>
      <c r="J453" s="10">
        <v>41</v>
      </c>
      <c r="K453" s="11">
        <f t="shared" si="94"/>
        <v>28.625</v>
      </c>
      <c r="L453" s="11">
        <f t="shared" si="95"/>
        <v>8.875</v>
      </c>
      <c r="M453" s="12">
        <f t="shared" si="96"/>
        <v>0.31004366812227074</v>
      </c>
      <c r="N453" s="11">
        <f t="shared" si="97"/>
        <v>5.125</v>
      </c>
      <c r="O453" s="12">
        <f t="shared" si="98"/>
        <v>0.57746478873239437</v>
      </c>
      <c r="P453" s="12">
        <f t="shared" si="99"/>
        <v>0.17903930131004367</v>
      </c>
      <c r="Q453" s="13">
        <f t="shared" si="100"/>
        <v>8.875</v>
      </c>
      <c r="R453" s="13">
        <f t="shared" si="101"/>
        <v>5.125</v>
      </c>
    </row>
    <row r="454" spans="1:18" ht="15.75" customHeight="1" x14ac:dyDescent="0.3">
      <c r="A454" s="7" t="s">
        <v>234</v>
      </c>
      <c r="B454" s="7" t="s">
        <v>81</v>
      </c>
      <c r="C454" s="24" t="s">
        <v>34</v>
      </c>
      <c r="D454" s="24" t="s">
        <v>35</v>
      </c>
      <c r="E454" s="8">
        <v>46120</v>
      </c>
      <c r="F454" s="8">
        <v>46127</v>
      </c>
      <c r="G454" s="9">
        <v>8</v>
      </c>
      <c r="H454" s="10">
        <v>439</v>
      </c>
      <c r="I454" s="10">
        <v>131</v>
      </c>
      <c r="J454" s="10">
        <v>72</v>
      </c>
      <c r="K454" s="11">
        <f t="shared" si="94"/>
        <v>54.875</v>
      </c>
      <c r="L454" s="11">
        <f t="shared" si="95"/>
        <v>16.375</v>
      </c>
      <c r="M454" s="12">
        <f t="shared" si="96"/>
        <v>0.29840546697038722</v>
      </c>
      <c r="N454" s="11">
        <f t="shared" si="97"/>
        <v>9</v>
      </c>
      <c r="O454" s="12">
        <f t="shared" si="98"/>
        <v>0.54961832061068705</v>
      </c>
      <c r="P454" s="12">
        <f t="shared" si="99"/>
        <v>0.16400911161731208</v>
      </c>
      <c r="Q454" s="13">
        <f t="shared" si="100"/>
        <v>16.375</v>
      </c>
      <c r="R454" s="13">
        <f t="shared" si="101"/>
        <v>9</v>
      </c>
    </row>
    <row r="455" spans="1:18" ht="15.75" customHeight="1" x14ac:dyDescent="0.3">
      <c r="A455" s="7" t="s">
        <v>234</v>
      </c>
      <c r="B455" s="7" t="s">
        <v>218</v>
      </c>
      <c r="C455" s="24" t="s">
        <v>34</v>
      </c>
      <c r="D455" s="24" t="s">
        <v>91</v>
      </c>
      <c r="E455" s="8">
        <v>46120</v>
      </c>
      <c r="F455" s="8">
        <v>46127</v>
      </c>
      <c r="G455" s="9">
        <v>8</v>
      </c>
      <c r="H455" s="10">
        <v>22</v>
      </c>
      <c r="I455" s="10">
        <v>8</v>
      </c>
      <c r="J455" s="10">
        <v>3</v>
      </c>
      <c r="K455" s="11">
        <f t="shared" si="94"/>
        <v>2.75</v>
      </c>
      <c r="L455" s="11">
        <f t="shared" si="95"/>
        <v>1</v>
      </c>
      <c r="M455" s="12">
        <f t="shared" si="96"/>
        <v>0.36363636363636365</v>
      </c>
      <c r="N455" s="11">
        <f t="shared" si="97"/>
        <v>0.375</v>
      </c>
      <c r="O455" s="12">
        <f t="shared" si="98"/>
        <v>0.375</v>
      </c>
      <c r="P455" s="12">
        <f t="shared" si="99"/>
        <v>0.13636363636363635</v>
      </c>
      <c r="Q455" s="13">
        <f t="shared" si="100"/>
        <v>1</v>
      </c>
      <c r="R455" s="13">
        <f t="shared" si="101"/>
        <v>0.375</v>
      </c>
    </row>
    <row r="456" spans="1:18" ht="15.75" customHeight="1" x14ac:dyDescent="0.3">
      <c r="A456" s="7" t="s">
        <v>234</v>
      </c>
      <c r="B456" s="7" t="s">
        <v>41</v>
      </c>
      <c r="C456" s="24" t="s">
        <v>34</v>
      </c>
      <c r="D456" s="24" t="s">
        <v>39</v>
      </c>
      <c r="E456" s="8">
        <v>46120</v>
      </c>
      <c r="F456" s="8">
        <v>46127</v>
      </c>
      <c r="G456" s="9">
        <v>8</v>
      </c>
      <c r="H456" s="10">
        <v>74</v>
      </c>
      <c r="I456" s="10">
        <v>10</v>
      </c>
      <c r="J456" s="10">
        <v>9</v>
      </c>
      <c r="K456" s="11">
        <f t="shared" si="94"/>
        <v>9.25</v>
      </c>
      <c r="L456" s="11">
        <f t="shared" si="95"/>
        <v>1.25</v>
      </c>
      <c r="M456" s="12">
        <f t="shared" si="96"/>
        <v>0.13513513513513514</v>
      </c>
      <c r="N456" s="11">
        <f t="shared" si="97"/>
        <v>1.125</v>
      </c>
      <c r="O456" s="12">
        <f t="shared" si="98"/>
        <v>0.9</v>
      </c>
      <c r="P456" s="12">
        <f t="shared" si="99"/>
        <v>0.12162162162162163</v>
      </c>
      <c r="Q456" s="13">
        <f t="shared" si="100"/>
        <v>1.25</v>
      </c>
      <c r="R456" s="13">
        <f t="shared" si="101"/>
        <v>1.125</v>
      </c>
    </row>
    <row r="457" spans="1:18" ht="15.75" customHeight="1" x14ac:dyDescent="0.3">
      <c r="A457" s="7" t="s">
        <v>234</v>
      </c>
      <c r="B457" s="7" t="s">
        <v>219</v>
      </c>
      <c r="C457" s="24" t="s">
        <v>34</v>
      </c>
      <c r="D457" s="24" t="s">
        <v>445</v>
      </c>
      <c r="E457" s="8">
        <v>46120</v>
      </c>
      <c r="F457" s="8">
        <v>46127</v>
      </c>
      <c r="G457" s="9">
        <v>8</v>
      </c>
      <c r="H457" s="10">
        <v>220</v>
      </c>
      <c r="I457" s="10">
        <v>25</v>
      </c>
      <c r="J457" s="10">
        <v>19</v>
      </c>
      <c r="K457" s="11">
        <f t="shared" si="94"/>
        <v>27.5</v>
      </c>
      <c r="L457" s="11">
        <f t="shared" si="95"/>
        <v>3.125</v>
      </c>
      <c r="M457" s="12">
        <f t="shared" si="96"/>
        <v>0.11363636363636363</v>
      </c>
      <c r="N457" s="11">
        <f t="shared" si="97"/>
        <v>2.375</v>
      </c>
      <c r="O457" s="12">
        <f t="shared" si="98"/>
        <v>0.76</v>
      </c>
      <c r="P457" s="12">
        <f t="shared" si="99"/>
        <v>8.6363636363636365E-2</v>
      </c>
      <c r="Q457" s="13">
        <f t="shared" si="100"/>
        <v>3.125</v>
      </c>
      <c r="R457" s="13">
        <f t="shared" si="101"/>
        <v>2.375</v>
      </c>
    </row>
    <row r="458" spans="1:18" ht="15.75" customHeight="1" x14ac:dyDescent="0.3">
      <c r="A458" s="7" t="s">
        <v>234</v>
      </c>
      <c r="B458" s="7" t="s">
        <v>43</v>
      </c>
      <c r="C458" s="24" t="s">
        <v>34</v>
      </c>
      <c r="D458" s="24" t="s">
        <v>44</v>
      </c>
      <c r="E458" s="8">
        <v>46120</v>
      </c>
      <c r="F458" s="8">
        <v>46127</v>
      </c>
      <c r="G458" s="9">
        <v>8</v>
      </c>
      <c r="H458" s="10">
        <v>238</v>
      </c>
      <c r="I458" s="10">
        <v>27</v>
      </c>
      <c r="J458" s="10">
        <v>19</v>
      </c>
      <c r="K458" s="11">
        <f t="shared" si="94"/>
        <v>29.75</v>
      </c>
      <c r="L458" s="11">
        <f t="shared" si="95"/>
        <v>3.375</v>
      </c>
      <c r="M458" s="12">
        <f t="shared" si="96"/>
        <v>0.1134453781512605</v>
      </c>
      <c r="N458" s="11">
        <f t="shared" si="97"/>
        <v>2.375</v>
      </c>
      <c r="O458" s="12">
        <f t="shared" si="98"/>
        <v>0.70370370370370372</v>
      </c>
      <c r="P458" s="12">
        <f t="shared" si="99"/>
        <v>7.9831932773109238E-2</v>
      </c>
      <c r="Q458" s="13">
        <f t="shared" si="100"/>
        <v>3.375</v>
      </c>
      <c r="R458" s="13">
        <f t="shared" si="101"/>
        <v>2.375</v>
      </c>
    </row>
    <row r="459" spans="1:18" ht="15.75" customHeight="1" x14ac:dyDescent="0.3">
      <c r="A459" s="7" t="s">
        <v>234</v>
      </c>
      <c r="B459" s="7" t="s">
        <v>45</v>
      </c>
      <c r="C459" s="24" t="s">
        <v>34</v>
      </c>
      <c r="D459" s="24" t="s">
        <v>44</v>
      </c>
      <c r="E459" s="8">
        <v>46120</v>
      </c>
      <c r="F459" s="8">
        <v>46127</v>
      </c>
      <c r="G459" s="9">
        <v>8</v>
      </c>
      <c r="H459" s="10">
        <v>504</v>
      </c>
      <c r="I459" s="10">
        <v>58</v>
      </c>
      <c r="J459" s="10">
        <v>41</v>
      </c>
      <c r="K459" s="11">
        <f t="shared" si="94"/>
        <v>63</v>
      </c>
      <c r="L459" s="11">
        <f t="shared" si="95"/>
        <v>7.25</v>
      </c>
      <c r="M459" s="12">
        <f t="shared" si="96"/>
        <v>0.11507936507936507</v>
      </c>
      <c r="N459" s="11">
        <f t="shared" si="97"/>
        <v>5.125</v>
      </c>
      <c r="O459" s="12">
        <f t="shared" si="98"/>
        <v>0.7068965517241379</v>
      </c>
      <c r="P459" s="12">
        <f t="shared" si="99"/>
        <v>8.1349206349206352E-2</v>
      </c>
      <c r="Q459" s="13">
        <f t="shared" si="100"/>
        <v>7.25</v>
      </c>
      <c r="R459" s="13">
        <f t="shared" si="101"/>
        <v>5.125</v>
      </c>
    </row>
    <row r="460" spans="1:18" ht="15.75" customHeight="1" x14ac:dyDescent="0.3">
      <c r="A460" s="7" t="s">
        <v>234</v>
      </c>
      <c r="B460" s="7" t="s">
        <v>220</v>
      </c>
      <c r="C460" s="24" t="s">
        <v>34</v>
      </c>
      <c r="D460" s="24" t="s">
        <v>44</v>
      </c>
      <c r="E460" s="8">
        <v>46120</v>
      </c>
      <c r="F460" s="8">
        <v>46127</v>
      </c>
      <c r="G460" s="9">
        <v>8</v>
      </c>
      <c r="H460" s="10">
        <v>134</v>
      </c>
      <c r="I460" s="10">
        <v>12</v>
      </c>
      <c r="J460" s="10">
        <v>8</v>
      </c>
      <c r="K460" s="11">
        <f t="shared" si="94"/>
        <v>16.75</v>
      </c>
      <c r="L460" s="11">
        <f t="shared" si="95"/>
        <v>1.5</v>
      </c>
      <c r="M460" s="12">
        <f t="shared" si="96"/>
        <v>8.9552238805970144E-2</v>
      </c>
      <c r="N460" s="11">
        <f t="shared" si="97"/>
        <v>1</v>
      </c>
      <c r="O460" s="12">
        <f t="shared" si="98"/>
        <v>0.66666666666666663</v>
      </c>
      <c r="P460" s="12">
        <f t="shared" si="99"/>
        <v>5.9701492537313432E-2</v>
      </c>
      <c r="Q460" s="13">
        <f t="shared" si="100"/>
        <v>1.5</v>
      </c>
      <c r="R460" s="13">
        <f t="shared" si="101"/>
        <v>1</v>
      </c>
    </row>
    <row r="461" spans="1:18" ht="15.75" customHeight="1" x14ac:dyDescent="0.3">
      <c r="A461" s="7" t="s">
        <v>234</v>
      </c>
      <c r="B461" s="7" t="s">
        <v>93</v>
      </c>
      <c r="C461" s="24" t="s">
        <v>47</v>
      </c>
      <c r="D461" s="24" t="s">
        <v>48</v>
      </c>
      <c r="E461" s="8">
        <v>46120</v>
      </c>
      <c r="F461" s="8">
        <v>46127</v>
      </c>
      <c r="G461" s="9">
        <v>8</v>
      </c>
      <c r="H461" s="10">
        <v>127</v>
      </c>
      <c r="I461" s="10">
        <v>39</v>
      </c>
      <c r="J461" s="10">
        <v>29</v>
      </c>
      <c r="K461" s="11">
        <f t="shared" si="94"/>
        <v>15.875</v>
      </c>
      <c r="L461" s="11">
        <f t="shared" si="95"/>
        <v>4.875</v>
      </c>
      <c r="M461" s="12">
        <f t="shared" si="96"/>
        <v>0.30708661417322836</v>
      </c>
      <c r="N461" s="11">
        <f t="shared" si="97"/>
        <v>3.625</v>
      </c>
      <c r="O461" s="12">
        <f t="shared" si="98"/>
        <v>0.74358974358974361</v>
      </c>
      <c r="P461" s="12">
        <f t="shared" si="99"/>
        <v>0.2283464566929134</v>
      </c>
      <c r="Q461" s="13">
        <f t="shared" si="100"/>
        <v>4.875</v>
      </c>
      <c r="R461" s="13">
        <f t="shared" si="101"/>
        <v>3.625</v>
      </c>
    </row>
    <row r="462" spans="1:18" ht="15.75" customHeight="1" x14ac:dyDescent="0.3">
      <c r="A462" s="7" t="s">
        <v>234</v>
      </c>
      <c r="B462" s="7" t="s">
        <v>94</v>
      </c>
      <c r="C462" s="24" t="s">
        <v>47</v>
      </c>
      <c r="D462" s="24" t="s">
        <v>48</v>
      </c>
      <c r="E462" s="8">
        <v>46120</v>
      </c>
      <c r="F462" s="8">
        <v>46127</v>
      </c>
      <c r="G462" s="9">
        <v>8</v>
      </c>
      <c r="H462" s="10">
        <v>0</v>
      </c>
      <c r="I462" s="10">
        <v>0</v>
      </c>
      <c r="J462" s="10">
        <v>0</v>
      </c>
      <c r="K462" s="11">
        <f t="shared" si="94"/>
        <v>0</v>
      </c>
      <c r="L462" s="11">
        <f t="shared" si="95"/>
        <v>0</v>
      </c>
      <c r="M462" s="12" t="str">
        <f t="shared" si="96"/>
        <v/>
      </c>
      <c r="N462" s="11">
        <f t="shared" si="97"/>
        <v>0</v>
      </c>
      <c r="O462" s="12" t="str">
        <f t="shared" si="98"/>
        <v/>
      </c>
      <c r="P462" s="12" t="str">
        <f t="shared" si="99"/>
        <v/>
      </c>
      <c r="Q462" s="13" t="str">
        <f t="shared" si="100"/>
        <v/>
      </c>
      <c r="R462" s="13" t="str">
        <f t="shared" si="101"/>
        <v/>
      </c>
    </row>
    <row r="463" spans="1:18" ht="15.75" customHeight="1" x14ac:dyDescent="0.3">
      <c r="A463" s="7" t="s">
        <v>234</v>
      </c>
      <c r="B463" s="7" t="s">
        <v>50</v>
      </c>
      <c r="C463" s="24" t="s">
        <v>47</v>
      </c>
      <c r="D463" s="24" t="s">
        <v>48</v>
      </c>
      <c r="E463" s="8">
        <v>46120</v>
      </c>
      <c r="F463" s="8">
        <v>46127</v>
      </c>
      <c r="G463" s="9">
        <v>8</v>
      </c>
      <c r="H463" s="10">
        <v>568</v>
      </c>
      <c r="I463" s="10">
        <v>128</v>
      </c>
      <c r="J463" s="10">
        <v>110</v>
      </c>
      <c r="K463" s="11">
        <f t="shared" si="94"/>
        <v>71</v>
      </c>
      <c r="L463" s="11">
        <f t="shared" si="95"/>
        <v>16</v>
      </c>
      <c r="M463" s="12">
        <f t="shared" si="96"/>
        <v>0.22535211267605634</v>
      </c>
      <c r="N463" s="11">
        <f t="shared" si="97"/>
        <v>13.75</v>
      </c>
      <c r="O463" s="12">
        <f t="shared" si="98"/>
        <v>0.859375</v>
      </c>
      <c r="P463" s="12">
        <f t="shared" si="99"/>
        <v>0.19366197183098591</v>
      </c>
      <c r="Q463" s="13">
        <f t="shared" si="100"/>
        <v>16</v>
      </c>
      <c r="R463" s="13">
        <f t="shared" si="101"/>
        <v>13.75</v>
      </c>
    </row>
    <row r="464" spans="1:18" ht="15.75" customHeight="1" x14ac:dyDescent="0.3">
      <c r="A464" s="7" t="s">
        <v>234</v>
      </c>
      <c r="B464" s="7" t="s">
        <v>51</v>
      </c>
      <c r="C464" s="24" t="s">
        <v>47</v>
      </c>
      <c r="D464" s="24" t="s">
        <v>48</v>
      </c>
      <c r="E464" s="8">
        <v>46120</v>
      </c>
      <c r="F464" s="8">
        <v>46127</v>
      </c>
      <c r="G464" s="9">
        <v>8</v>
      </c>
      <c r="H464" s="10">
        <v>19</v>
      </c>
      <c r="I464" s="10">
        <v>4</v>
      </c>
      <c r="J464" s="10">
        <v>4</v>
      </c>
      <c r="K464" s="11">
        <f t="shared" si="94"/>
        <v>2.375</v>
      </c>
      <c r="L464" s="11">
        <f t="shared" si="95"/>
        <v>0.5</v>
      </c>
      <c r="M464" s="12">
        <f t="shared" si="96"/>
        <v>0.21052631578947367</v>
      </c>
      <c r="N464" s="11">
        <f t="shared" si="97"/>
        <v>0.5</v>
      </c>
      <c r="O464" s="12">
        <f t="shared" si="98"/>
        <v>1</v>
      </c>
      <c r="P464" s="12">
        <f t="shared" si="99"/>
        <v>0.21052631578947367</v>
      </c>
      <c r="Q464" s="13">
        <f t="shared" si="100"/>
        <v>0.5</v>
      </c>
      <c r="R464" s="13">
        <f t="shared" si="101"/>
        <v>0.5</v>
      </c>
    </row>
    <row r="465" spans="1:18" ht="15.75" customHeight="1" x14ac:dyDescent="0.3">
      <c r="A465" s="7" t="s">
        <v>234</v>
      </c>
      <c r="B465" s="7" t="s">
        <v>97</v>
      </c>
      <c r="C465" s="24" t="s">
        <v>47</v>
      </c>
      <c r="D465" s="24" t="s">
        <v>53</v>
      </c>
      <c r="E465" s="8">
        <v>46120</v>
      </c>
      <c r="F465" s="8">
        <v>46127</v>
      </c>
      <c r="G465" s="9">
        <v>8</v>
      </c>
      <c r="H465" s="10">
        <v>56</v>
      </c>
      <c r="I465" s="10">
        <v>18</v>
      </c>
      <c r="J465" s="10">
        <v>11</v>
      </c>
      <c r="K465" s="11">
        <f t="shared" si="94"/>
        <v>7</v>
      </c>
      <c r="L465" s="11">
        <f t="shared" si="95"/>
        <v>2.25</v>
      </c>
      <c r="M465" s="12">
        <f t="shared" si="96"/>
        <v>0.32142857142857145</v>
      </c>
      <c r="N465" s="11">
        <f t="shared" si="97"/>
        <v>1.375</v>
      </c>
      <c r="O465" s="12">
        <f t="shared" si="98"/>
        <v>0.61111111111111116</v>
      </c>
      <c r="P465" s="12">
        <f t="shared" si="99"/>
        <v>0.19642857142857142</v>
      </c>
      <c r="Q465" s="13">
        <f t="shared" si="100"/>
        <v>2.25</v>
      </c>
      <c r="R465" s="13">
        <f t="shared" si="101"/>
        <v>1.375</v>
      </c>
    </row>
    <row r="466" spans="1:18" ht="15.75" customHeight="1" x14ac:dyDescent="0.3">
      <c r="A466" s="7" t="s">
        <v>234</v>
      </c>
      <c r="B466" s="7" t="s">
        <v>54</v>
      </c>
      <c r="C466" s="24" t="s">
        <v>47</v>
      </c>
      <c r="D466" s="24" t="s">
        <v>53</v>
      </c>
      <c r="E466" s="8">
        <v>46120</v>
      </c>
      <c r="F466" s="8">
        <v>46127</v>
      </c>
      <c r="G466" s="9">
        <v>8</v>
      </c>
      <c r="H466" s="10">
        <v>506</v>
      </c>
      <c r="I466" s="10">
        <v>200</v>
      </c>
      <c r="J466" s="10">
        <v>154</v>
      </c>
      <c r="K466" s="11">
        <f t="shared" si="94"/>
        <v>63.25</v>
      </c>
      <c r="L466" s="11">
        <f t="shared" si="95"/>
        <v>25</v>
      </c>
      <c r="M466" s="12">
        <f t="shared" si="96"/>
        <v>0.39525691699604742</v>
      </c>
      <c r="N466" s="11">
        <f t="shared" si="97"/>
        <v>19.25</v>
      </c>
      <c r="O466" s="12">
        <f t="shared" si="98"/>
        <v>0.77</v>
      </c>
      <c r="P466" s="12">
        <f t="shared" si="99"/>
        <v>0.30434782608695654</v>
      </c>
      <c r="Q466" s="13">
        <f t="shared" si="100"/>
        <v>25</v>
      </c>
      <c r="R466" s="13">
        <f t="shared" si="101"/>
        <v>19.25</v>
      </c>
    </row>
    <row r="467" spans="1:18" ht="15.75" customHeight="1" x14ac:dyDescent="0.3">
      <c r="A467" s="7" t="s">
        <v>234</v>
      </c>
      <c r="B467" s="7" t="s">
        <v>99</v>
      </c>
      <c r="C467" s="24" t="s">
        <v>47</v>
      </c>
      <c r="D467" s="24" t="s">
        <v>56</v>
      </c>
      <c r="E467" s="8">
        <v>46120</v>
      </c>
      <c r="F467" s="8">
        <v>46127</v>
      </c>
      <c r="G467" s="9">
        <v>8</v>
      </c>
      <c r="H467" s="10">
        <v>89</v>
      </c>
      <c r="I467" s="10">
        <v>37</v>
      </c>
      <c r="J467" s="10">
        <v>29</v>
      </c>
      <c r="K467" s="11">
        <f t="shared" si="94"/>
        <v>11.125</v>
      </c>
      <c r="L467" s="11">
        <f t="shared" si="95"/>
        <v>4.625</v>
      </c>
      <c r="M467" s="12">
        <f t="shared" si="96"/>
        <v>0.4157303370786517</v>
      </c>
      <c r="N467" s="11">
        <f t="shared" si="97"/>
        <v>3.625</v>
      </c>
      <c r="O467" s="12">
        <f t="shared" si="98"/>
        <v>0.78378378378378377</v>
      </c>
      <c r="P467" s="12">
        <f t="shared" si="99"/>
        <v>0.3258426966292135</v>
      </c>
      <c r="Q467" s="13">
        <f t="shared" si="100"/>
        <v>4.625</v>
      </c>
      <c r="R467" s="13">
        <f t="shared" si="101"/>
        <v>3.625</v>
      </c>
    </row>
    <row r="468" spans="1:18" ht="15.75" customHeight="1" x14ac:dyDescent="0.3">
      <c r="A468" s="7" t="s">
        <v>234</v>
      </c>
      <c r="B468" s="7" t="s">
        <v>100</v>
      </c>
      <c r="C468" s="24" t="s">
        <v>47</v>
      </c>
      <c r="D468" s="24" t="s">
        <v>56</v>
      </c>
      <c r="E468" s="8">
        <v>46120</v>
      </c>
      <c r="F468" s="8">
        <v>46127</v>
      </c>
      <c r="G468" s="9">
        <v>8</v>
      </c>
      <c r="H468" s="10"/>
      <c r="I468" s="10"/>
      <c r="J468" s="10"/>
      <c r="K468" s="11">
        <f t="shared" si="94"/>
        <v>0</v>
      </c>
      <c r="L468" s="11">
        <f t="shared" si="95"/>
        <v>0</v>
      </c>
      <c r="M468" s="12" t="str">
        <f t="shared" si="96"/>
        <v/>
      </c>
      <c r="N468" s="11">
        <f t="shared" si="97"/>
        <v>0</v>
      </c>
      <c r="O468" s="12" t="str">
        <f t="shared" si="98"/>
        <v/>
      </c>
      <c r="P468" s="12" t="str">
        <f t="shared" si="99"/>
        <v/>
      </c>
    </row>
    <row r="469" spans="1:18" ht="15.75" customHeight="1" x14ac:dyDescent="0.3">
      <c r="A469" s="7" t="s">
        <v>234</v>
      </c>
      <c r="B469" s="7" t="s">
        <v>221</v>
      </c>
      <c r="C469" s="24" t="s">
        <v>58</v>
      </c>
      <c r="D469" s="24" t="s">
        <v>61</v>
      </c>
      <c r="E469" s="8">
        <v>46120</v>
      </c>
      <c r="F469" s="8">
        <v>46127</v>
      </c>
      <c r="G469" s="9">
        <v>8</v>
      </c>
      <c r="H469" s="10">
        <v>100</v>
      </c>
      <c r="I469" s="10">
        <v>32</v>
      </c>
      <c r="J469" s="10">
        <v>24</v>
      </c>
      <c r="K469" s="11">
        <f t="shared" si="94"/>
        <v>12.5</v>
      </c>
      <c r="L469" s="11">
        <f t="shared" si="95"/>
        <v>4</v>
      </c>
      <c r="M469" s="12">
        <f t="shared" si="96"/>
        <v>0.32</v>
      </c>
      <c r="N469" s="11">
        <f t="shared" si="97"/>
        <v>3</v>
      </c>
      <c r="O469" s="12">
        <f t="shared" si="98"/>
        <v>0.75</v>
      </c>
      <c r="P469" s="12">
        <f t="shared" si="99"/>
        <v>0.24</v>
      </c>
      <c r="Q469" s="13">
        <f t="shared" ref="Q469:Q476" si="102">IFERROR((I469/H469)*K469,"")</f>
        <v>4</v>
      </c>
      <c r="R469" s="13">
        <f t="shared" ref="R469:R476" si="103">IFERROR((J469/H469)*K469,"")</f>
        <v>3</v>
      </c>
    </row>
    <row r="470" spans="1:18" ht="15.75" customHeight="1" x14ac:dyDescent="0.3">
      <c r="A470" s="7" t="s">
        <v>234</v>
      </c>
      <c r="B470" s="7" t="s">
        <v>222</v>
      </c>
      <c r="C470" s="24" t="s">
        <v>58</v>
      </c>
      <c r="D470" s="24" t="s">
        <v>124</v>
      </c>
      <c r="E470" s="8">
        <v>46120</v>
      </c>
      <c r="F470" s="8">
        <v>46127</v>
      </c>
      <c r="G470" s="9">
        <v>8</v>
      </c>
      <c r="H470" s="10">
        <v>4</v>
      </c>
      <c r="I470" s="10">
        <v>2</v>
      </c>
      <c r="J470" s="10">
        <v>1</v>
      </c>
      <c r="K470" s="11">
        <f t="shared" si="94"/>
        <v>0.5</v>
      </c>
      <c r="L470" s="11">
        <f t="shared" si="95"/>
        <v>0.25</v>
      </c>
      <c r="M470" s="12">
        <f t="shared" si="96"/>
        <v>0.5</v>
      </c>
      <c r="N470" s="11">
        <f t="shared" si="97"/>
        <v>0.125</v>
      </c>
      <c r="O470" s="12">
        <f t="shared" si="98"/>
        <v>0.5</v>
      </c>
      <c r="P470" s="12">
        <f t="shared" si="99"/>
        <v>0.25</v>
      </c>
      <c r="Q470" s="13">
        <f t="shared" si="102"/>
        <v>0.25</v>
      </c>
      <c r="R470" s="13">
        <f t="shared" si="103"/>
        <v>0.125</v>
      </c>
    </row>
    <row r="471" spans="1:18" ht="15.75" customHeight="1" x14ac:dyDescent="0.3">
      <c r="A471" s="7" t="s">
        <v>234</v>
      </c>
      <c r="B471" s="7" t="s">
        <v>125</v>
      </c>
      <c r="C471" s="24" t="s">
        <v>58</v>
      </c>
      <c r="D471" s="24" t="s">
        <v>103</v>
      </c>
      <c r="E471" s="8">
        <v>46120</v>
      </c>
      <c r="F471" s="8">
        <v>46127</v>
      </c>
      <c r="G471" s="9">
        <v>8</v>
      </c>
      <c r="H471" s="10">
        <v>114</v>
      </c>
      <c r="I471" s="10">
        <v>26</v>
      </c>
      <c r="J471" s="10">
        <v>19</v>
      </c>
      <c r="K471" s="11">
        <f t="shared" si="94"/>
        <v>14.25</v>
      </c>
      <c r="L471" s="11">
        <f t="shared" si="95"/>
        <v>3.25</v>
      </c>
      <c r="M471" s="12">
        <f t="shared" si="96"/>
        <v>0.22807017543859648</v>
      </c>
      <c r="N471" s="11">
        <f t="shared" si="97"/>
        <v>2.375</v>
      </c>
      <c r="O471" s="12">
        <f t="shared" si="98"/>
        <v>0.73076923076923073</v>
      </c>
      <c r="P471" s="12">
        <f t="shared" si="99"/>
        <v>0.16666666666666666</v>
      </c>
      <c r="Q471" s="13">
        <f t="shared" si="102"/>
        <v>3.25</v>
      </c>
      <c r="R471" s="13">
        <f t="shared" si="103"/>
        <v>2.375</v>
      </c>
    </row>
    <row r="472" spans="1:18" ht="15.75" customHeight="1" x14ac:dyDescent="0.3">
      <c r="A472" s="7" t="s">
        <v>234</v>
      </c>
      <c r="B472" s="7" t="s">
        <v>223</v>
      </c>
      <c r="C472" s="24" t="s">
        <v>58</v>
      </c>
      <c r="D472" s="24" t="s">
        <v>64</v>
      </c>
      <c r="E472" s="8">
        <v>46120</v>
      </c>
      <c r="F472" s="8">
        <v>46127</v>
      </c>
      <c r="G472" s="9">
        <v>8</v>
      </c>
      <c r="H472" s="10">
        <v>54</v>
      </c>
      <c r="I472" s="10">
        <v>27</v>
      </c>
      <c r="J472" s="10">
        <v>15</v>
      </c>
      <c r="K472" s="11">
        <f t="shared" si="94"/>
        <v>6.75</v>
      </c>
      <c r="L472" s="11">
        <f t="shared" si="95"/>
        <v>3.375</v>
      </c>
      <c r="M472" s="12">
        <f t="shared" si="96"/>
        <v>0.5</v>
      </c>
      <c r="N472" s="11">
        <f t="shared" si="97"/>
        <v>1.875</v>
      </c>
      <c r="O472" s="12">
        <f t="shared" si="98"/>
        <v>0.55555555555555558</v>
      </c>
      <c r="P472" s="12">
        <f t="shared" si="99"/>
        <v>0.27777777777777779</v>
      </c>
      <c r="Q472" s="13">
        <f t="shared" si="102"/>
        <v>3.375</v>
      </c>
      <c r="R472" s="13">
        <f t="shared" si="103"/>
        <v>1.875</v>
      </c>
    </row>
    <row r="473" spans="1:18" ht="15.75" customHeight="1" x14ac:dyDescent="0.3">
      <c r="A473" s="7" t="s">
        <v>234</v>
      </c>
      <c r="B473" s="7" t="s">
        <v>200</v>
      </c>
      <c r="C473" s="24" t="s">
        <v>58</v>
      </c>
      <c r="D473" s="24" t="s">
        <v>66</v>
      </c>
      <c r="E473" s="8">
        <v>46120</v>
      </c>
      <c r="F473" s="8">
        <v>46127</v>
      </c>
      <c r="G473" s="9">
        <v>8</v>
      </c>
      <c r="H473" s="10">
        <v>53</v>
      </c>
      <c r="I473" s="10">
        <v>14</v>
      </c>
      <c r="J473" s="10">
        <v>11</v>
      </c>
      <c r="K473" s="11">
        <f t="shared" si="94"/>
        <v>6.625</v>
      </c>
      <c r="L473" s="11">
        <f t="shared" si="95"/>
        <v>1.75</v>
      </c>
      <c r="M473" s="12">
        <f t="shared" si="96"/>
        <v>0.26415094339622641</v>
      </c>
      <c r="N473" s="11">
        <f t="shared" si="97"/>
        <v>1.375</v>
      </c>
      <c r="O473" s="12">
        <f t="shared" si="98"/>
        <v>0.7857142857142857</v>
      </c>
      <c r="P473" s="12">
        <f t="shared" si="99"/>
        <v>0.20754716981132076</v>
      </c>
      <c r="Q473" s="13">
        <f t="shared" si="102"/>
        <v>1.75</v>
      </c>
      <c r="R473" s="13">
        <f t="shared" si="103"/>
        <v>1.375</v>
      </c>
    </row>
    <row r="474" spans="1:18" ht="15.75" customHeight="1" x14ac:dyDescent="0.3">
      <c r="A474" s="7" t="s">
        <v>234</v>
      </c>
      <c r="B474" s="7" t="s">
        <v>201</v>
      </c>
      <c r="C474" s="24" t="s">
        <v>58</v>
      </c>
      <c r="D474" s="24" t="s">
        <v>68</v>
      </c>
      <c r="E474" s="8">
        <v>46120</v>
      </c>
      <c r="F474" s="8">
        <v>46127</v>
      </c>
      <c r="G474" s="9">
        <v>8</v>
      </c>
      <c r="H474" s="10">
        <v>11</v>
      </c>
      <c r="I474" s="10">
        <v>8</v>
      </c>
      <c r="J474" s="10">
        <v>8</v>
      </c>
      <c r="K474" s="11">
        <f t="shared" si="94"/>
        <v>1.375</v>
      </c>
      <c r="L474" s="11">
        <f t="shared" si="95"/>
        <v>1</v>
      </c>
      <c r="M474" s="12">
        <f t="shared" si="96"/>
        <v>0.72727272727272729</v>
      </c>
      <c r="N474" s="11">
        <f t="shared" si="97"/>
        <v>1</v>
      </c>
      <c r="O474" s="12">
        <f t="shared" si="98"/>
        <v>1</v>
      </c>
      <c r="P474" s="12">
        <f t="shared" si="99"/>
        <v>0.72727272727272729</v>
      </c>
      <c r="Q474" s="13">
        <f t="shared" si="102"/>
        <v>1</v>
      </c>
      <c r="R474" s="13">
        <f t="shared" si="103"/>
        <v>1</v>
      </c>
    </row>
    <row r="475" spans="1:18" ht="15.75" customHeight="1" x14ac:dyDescent="0.3">
      <c r="A475" s="7" t="s">
        <v>234</v>
      </c>
      <c r="B475" s="7" t="s">
        <v>136</v>
      </c>
      <c r="C475" s="24" t="s">
        <v>58</v>
      </c>
      <c r="D475" s="24" t="s">
        <v>66</v>
      </c>
      <c r="E475" s="8">
        <v>46120</v>
      </c>
      <c r="F475" s="8">
        <v>46127</v>
      </c>
      <c r="G475" s="9">
        <v>8</v>
      </c>
      <c r="H475" s="10">
        <v>16</v>
      </c>
      <c r="I475" s="10">
        <v>3</v>
      </c>
      <c r="J475" s="10">
        <v>1</v>
      </c>
      <c r="K475" s="11">
        <f t="shared" si="94"/>
        <v>2</v>
      </c>
      <c r="L475" s="11">
        <f t="shared" si="95"/>
        <v>0.375</v>
      </c>
      <c r="M475" s="12">
        <f t="shared" si="96"/>
        <v>0.1875</v>
      </c>
      <c r="N475" s="11">
        <f t="shared" si="97"/>
        <v>0.125</v>
      </c>
      <c r="O475" s="12">
        <f t="shared" si="98"/>
        <v>0.33333333333333331</v>
      </c>
      <c r="P475" s="12">
        <f t="shared" si="99"/>
        <v>6.25E-2</v>
      </c>
      <c r="Q475" s="13">
        <f t="shared" si="102"/>
        <v>0.375</v>
      </c>
      <c r="R475" s="13">
        <f t="shared" si="103"/>
        <v>0.125</v>
      </c>
    </row>
    <row r="476" spans="1:18" ht="15.75" customHeight="1" x14ac:dyDescent="0.3">
      <c r="A476" s="7" t="s">
        <v>234</v>
      </c>
      <c r="B476" s="7" t="s">
        <v>137</v>
      </c>
      <c r="C476" s="24" t="s">
        <v>58</v>
      </c>
      <c r="D476" s="24" t="s">
        <v>68</v>
      </c>
      <c r="E476" s="8">
        <v>46120</v>
      </c>
      <c r="F476" s="8">
        <v>46127</v>
      </c>
      <c r="G476" s="9">
        <v>8</v>
      </c>
      <c r="H476" s="10">
        <v>8</v>
      </c>
      <c r="I476" s="10">
        <v>2</v>
      </c>
      <c r="J476" s="10">
        <v>2</v>
      </c>
      <c r="K476" s="11">
        <f t="shared" si="94"/>
        <v>1</v>
      </c>
      <c r="L476" s="11">
        <f t="shared" si="95"/>
        <v>0.25</v>
      </c>
      <c r="M476" s="12">
        <f t="shared" si="96"/>
        <v>0.25</v>
      </c>
      <c r="N476" s="11">
        <f t="shared" si="97"/>
        <v>0.25</v>
      </c>
      <c r="O476" s="12">
        <f t="shared" si="98"/>
        <v>1</v>
      </c>
      <c r="P476" s="12">
        <f t="shared" si="99"/>
        <v>0.25</v>
      </c>
      <c r="Q476" s="13">
        <f t="shared" si="102"/>
        <v>0.25</v>
      </c>
      <c r="R476" s="13">
        <f t="shared" si="103"/>
        <v>0.25</v>
      </c>
    </row>
    <row r="477" spans="1:18" ht="15.75" customHeight="1" x14ac:dyDescent="0.3">
      <c r="A477" s="7" t="s">
        <v>234</v>
      </c>
      <c r="B477" s="7" t="s">
        <v>224</v>
      </c>
      <c r="C477" s="24" t="s">
        <v>58</v>
      </c>
      <c r="D477" s="24" t="s">
        <v>66</v>
      </c>
      <c r="E477" s="8">
        <v>46120</v>
      </c>
      <c r="F477" s="8">
        <v>46127</v>
      </c>
      <c r="G477" s="9">
        <v>8</v>
      </c>
      <c r="H477" s="10"/>
      <c r="I477" s="10"/>
      <c r="J477" s="10"/>
      <c r="K477" s="11">
        <f t="shared" si="94"/>
        <v>0</v>
      </c>
      <c r="L477" s="11">
        <f t="shared" si="95"/>
        <v>0</v>
      </c>
      <c r="M477" s="12" t="str">
        <f t="shared" si="96"/>
        <v/>
      </c>
      <c r="N477" s="11">
        <f t="shared" si="97"/>
        <v>0</v>
      </c>
      <c r="O477" s="12" t="str">
        <f t="shared" si="98"/>
        <v/>
      </c>
      <c r="P477" s="12" t="str">
        <f t="shared" si="99"/>
        <v/>
      </c>
    </row>
    <row r="478" spans="1:18" ht="15.75" customHeight="1" x14ac:dyDescent="0.3">
      <c r="A478" s="7" t="s">
        <v>234</v>
      </c>
      <c r="B478" s="7" t="s">
        <v>225</v>
      </c>
      <c r="C478" s="24" t="s">
        <v>58</v>
      </c>
      <c r="D478" s="24" t="s">
        <v>68</v>
      </c>
      <c r="E478" s="8">
        <v>46120</v>
      </c>
      <c r="F478" s="8">
        <v>46127</v>
      </c>
      <c r="G478" s="9">
        <v>8</v>
      </c>
      <c r="H478" s="10">
        <v>4</v>
      </c>
      <c r="I478" s="10">
        <v>2</v>
      </c>
      <c r="J478" s="10">
        <v>1</v>
      </c>
      <c r="K478" s="11">
        <f t="shared" si="94"/>
        <v>0.5</v>
      </c>
      <c r="L478" s="11">
        <f t="shared" si="95"/>
        <v>0.25</v>
      </c>
      <c r="M478" s="12">
        <f t="shared" si="96"/>
        <v>0.5</v>
      </c>
      <c r="N478" s="11">
        <f t="shared" si="97"/>
        <v>0.125</v>
      </c>
      <c r="O478" s="12">
        <f t="shared" si="98"/>
        <v>0.5</v>
      </c>
      <c r="P478" s="12">
        <f t="shared" si="99"/>
        <v>0.25</v>
      </c>
      <c r="Q478" s="13">
        <f t="shared" ref="Q478:Q509" si="104">IFERROR((I478/H478)*K478,"")</f>
        <v>0.25</v>
      </c>
      <c r="R478" s="13">
        <f t="shared" ref="R478:R509" si="105">IFERROR((J478/H478)*K478,"")</f>
        <v>0.125</v>
      </c>
    </row>
    <row r="479" spans="1:18" ht="15.75" customHeight="1" x14ac:dyDescent="0.3">
      <c r="A479" s="7" t="s">
        <v>234</v>
      </c>
      <c r="B479" s="7" t="s">
        <v>112</v>
      </c>
      <c r="C479" s="24" t="s">
        <v>58</v>
      </c>
      <c r="D479" s="24" t="s">
        <v>66</v>
      </c>
      <c r="E479" s="8">
        <v>46120</v>
      </c>
      <c r="F479" s="8">
        <v>46127</v>
      </c>
      <c r="G479" s="9">
        <v>8</v>
      </c>
      <c r="H479" s="10">
        <v>6</v>
      </c>
      <c r="I479" s="10">
        <v>1</v>
      </c>
      <c r="J479" s="10">
        <v>1</v>
      </c>
      <c r="K479" s="11">
        <f t="shared" si="94"/>
        <v>0.75</v>
      </c>
      <c r="L479" s="11">
        <f t="shared" si="95"/>
        <v>0.125</v>
      </c>
      <c r="M479" s="12">
        <f t="shared" si="96"/>
        <v>0.16666666666666666</v>
      </c>
      <c r="N479" s="11">
        <f t="shared" si="97"/>
        <v>0.125</v>
      </c>
      <c r="O479" s="12">
        <f t="shared" si="98"/>
        <v>1</v>
      </c>
      <c r="P479" s="12">
        <f t="shared" si="99"/>
        <v>0.16666666666666666</v>
      </c>
      <c r="Q479" s="13">
        <f t="shared" si="104"/>
        <v>0.125</v>
      </c>
      <c r="R479" s="13">
        <f t="shared" si="105"/>
        <v>0.125</v>
      </c>
    </row>
    <row r="480" spans="1:18" ht="15.75" customHeight="1" x14ac:dyDescent="0.3">
      <c r="A480" s="7" t="s">
        <v>234</v>
      </c>
      <c r="B480" s="7" t="s">
        <v>113</v>
      </c>
      <c r="C480" s="24" t="s">
        <v>58</v>
      </c>
      <c r="D480" s="24" t="s">
        <v>68</v>
      </c>
      <c r="E480" s="8">
        <v>46120</v>
      </c>
      <c r="F480" s="8">
        <v>46127</v>
      </c>
      <c r="G480" s="9">
        <v>8</v>
      </c>
      <c r="H480" s="10">
        <v>4</v>
      </c>
      <c r="I480" s="10">
        <v>1</v>
      </c>
      <c r="J480" s="10">
        <v>0</v>
      </c>
      <c r="K480" s="11">
        <f t="shared" si="94"/>
        <v>0.5</v>
      </c>
      <c r="L480" s="11">
        <f t="shared" si="95"/>
        <v>0.125</v>
      </c>
      <c r="M480" s="12">
        <f t="shared" si="96"/>
        <v>0.25</v>
      </c>
      <c r="N480" s="11">
        <f t="shared" si="97"/>
        <v>0</v>
      </c>
      <c r="O480" s="12">
        <f t="shared" si="98"/>
        <v>0</v>
      </c>
      <c r="P480" s="12">
        <f t="shared" si="99"/>
        <v>0</v>
      </c>
      <c r="Q480" s="13">
        <f t="shared" si="104"/>
        <v>0.125</v>
      </c>
      <c r="R480" s="13">
        <f t="shared" si="105"/>
        <v>0</v>
      </c>
    </row>
    <row r="481" spans="1:18" ht="15.75" customHeight="1" x14ac:dyDescent="0.3">
      <c r="A481" s="7" t="s">
        <v>234</v>
      </c>
      <c r="B481" s="7" t="s">
        <v>73</v>
      </c>
      <c r="C481" s="24" t="s">
        <v>58</v>
      </c>
      <c r="D481" s="24" t="s">
        <v>74</v>
      </c>
      <c r="E481" s="8">
        <v>46120</v>
      </c>
      <c r="F481" s="8">
        <v>46127</v>
      </c>
      <c r="G481" s="9">
        <v>8</v>
      </c>
      <c r="H481" s="10">
        <v>21</v>
      </c>
      <c r="I481" s="10">
        <v>11</v>
      </c>
      <c r="J481" s="10">
        <v>8</v>
      </c>
      <c r="K481" s="11">
        <f t="shared" si="94"/>
        <v>2.625</v>
      </c>
      <c r="L481" s="11">
        <f t="shared" si="95"/>
        <v>1.375</v>
      </c>
      <c r="M481" s="12">
        <f t="shared" si="96"/>
        <v>0.52380952380952384</v>
      </c>
      <c r="N481" s="11">
        <f t="shared" si="97"/>
        <v>1</v>
      </c>
      <c r="O481" s="12">
        <f t="shared" si="98"/>
        <v>0.72727272727272729</v>
      </c>
      <c r="P481" s="12">
        <f t="shared" si="99"/>
        <v>0.38095238095238093</v>
      </c>
      <c r="Q481" s="13">
        <f t="shared" si="104"/>
        <v>1.375</v>
      </c>
      <c r="R481" s="13">
        <f t="shared" si="105"/>
        <v>1</v>
      </c>
    </row>
    <row r="482" spans="1:18" ht="15.75" customHeight="1" x14ac:dyDescent="0.3">
      <c r="A482" s="7" t="s">
        <v>234</v>
      </c>
      <c r="B482" s="7" t="s">
        <v>131</v>
      </c>
      <c r="C482" s="24" t="s">
        <v>58</v>
      </c>
      <c r="D482" s="24" t="s">
        <v>74</v>
      </c>
      <c r="E482" s="8">
        <v>46120</v>
      </c>
      <c r="F482" s="8">
        <v>46127</v>
      </c>
      <c r="G482" s="9">
        <v>8</v>
      </c>
      <c r="H482" s="10">
        <v>67</v>
      </c>
      <c r="I482" s="10">
        <v>30</v>
      </c>
      <c r="J482" s="10">
        <v>24</v>
      </c>
      <c r="K482" s="11">
        <f t="shared" si="94"/>
        <v>8.375</v>
      </c>
      <c r="L482" s="11">
        <f t="shared" si="95"/>
        <v>3.75</v>
      </c>
      <c r="M482" s="12">
        <f t="shared" si="96"/>
        <v>0.44776119402985076</v>
      </c>
      <c r="N482" s="11">
        <f t="shared" si="97"/>
        <v>3</v>
      </c>
      <c r="O482" s="12">
        <f t="shared" si="98"/>
        <v>0.8</v>
      </c>
      <c r="P482" s="12">
        <f t="shared" si="99"/>
        <v>0.35820895522388058</v>
      </c>
      <c r="Q482" s="13">
        <f t="shared" si="104"/>
        <v>3.75</v>
      </c>
      <c r="R482" s="13">
        <f t="shared" si="105"/>
        <v>3</v>
      </c>
    </row>
    <row r="483" spans="1:18" ht="15.75" customHeight="1" x14ac:dyDescent="0.3">
      <c r="A483" s="7" t="s">
        <v>234</v>
      </c>
      <c r="B483" s="7" t="s">
        <v>210</v>
      </c>
      <c r="C483" s="24" t="s">
        <v>58</v>
      </c>
      <c r="D483" s="24" t="s">
        <v>59</v>
      </c>
      <c r="E483" s="8">
        <v>46120</v>
      </c>
      <c r="F483" s="8">
        <v>46127</v>
      </c>
      <c r="G483" s="9">
        <v>8</v>
      </c>
      <c r="H483" s="10">
        <v>18</v>
      </c>
      <c r="I483" s="10">
        <v>8</v>
      </c>
      <c r="J483" s="10">
        <v>5</v>
      </c>
      <c r="K483" s="11">
        <f t="shared" si="94"/>
        <v>2.25</v>
      </c>
      <c r="L483" s="11">
        <f t="shared" si="95"/>
        <v>1</v>
      </c>
      <c r="M483" s="12">
        <f t="shared" si="96"/>
        <v>0.44444444444444442</v>
      </c>
      <c r="N483" s="11">
        <f t="shared" si="97"/>
        <v>0.625</v>
      </c>
      <c r="O483" s="12">
        <f t="shared" si="98"/>
        <v>0.625</v>
      </c>
      <c r="P483" s="12">
        <f t="shared" si="99"/>
        <v>0.27777777777777779</v>
      </c>
      <c r="Q483" s="13">
        <f t="shared" si="104"/>
        <v>1</v>
      </c>
      <c r="R483" s="13">
        <f t="shared" si="105"/>
        <v>0.625</v>
      </c>
    </row>
    <row r="484" spans="1:18" ht="15.75" customHeight="1" x14ac:dyDescent="0.3">
      <c r="A484" s="7" t="s">
        <v>234</v>
      </c>
      <c r="B484" s="7" t="s">
        <v>203</v>
      </c>
      <c r="C484" s="24" t="s">
        <v>58</v>
      </c>
      <c r="D484" s="24" t="s">
        <v>59</v>
      </c>
      <c r="E484" s="8">
        <v>46120</v>
      </c>
      <c r="F484" s="8">
        <v>46127</v>
      </c>
      <c r="G484" s="9">
        <v>8</v>
      </c>
      <c r="H484" s="10">
        <v>24</v>
      </c>
      <c r="I484" s="10">
        <v>9</v>
      </c>
      <c r="J484" s="10">
        <v>7</v>
      </c>
      <c r="K484" s="11">
        <f t="shared" si="94"/>
        <v>3</v>
      </c>
      <c r="L484" s="11">
        <f t="shared" si="95"/>
        <v>1.125</v>
      </c>
      <c r="M484" s="12">
        <f t="shared" si="96"/>
        <v>0.375</v>
      </c>
      <c r="N484" s="11">
        <f t="shared" si="97"/>
        <v>0.875</v>
      </c>
      <c r="O484" s="12">
        <f t="shared" si="98"/>
        <v>0.77777777777777779</v>
      </c>
      <c r="P484" s="12">
        <f t="shared" si="99"/>
        <v>0.29166666666666669</v>
      </c>
      <c r="Q484" s="13">
        <f t="shared" si="104"/>
        <v>1.125</v>
      </c>
      <c r="R484" s="13">
        <f t="shared" si="105"/>
        <v>0.875</v>
      </c>
    </row>
    <row r="485" spans="1:18" ht="15.75" customHeight="1" x14ac:dyDescent="0.3">
      <c r="A485" s="7" t="s">
        <v>239</v>
      </c>
      <c r="B485" s="7" t="s">
        <v>170</v>
      </c>
      <c r="C485" s="24" t="s">
        <v>34</v>
      </c>
      <c r="D485" s="24" t="s">
        <v>35</v>
      </c>
      <c r="E485" s="8">
        <v>46128</v>
      </c>
      <c r="F485" s="8">
        <v>46134</v>
      </c>
      <c r="G485" s="9">
        <v>7</v>
      </c>
      <c r="H485" s="10">
        <v>385</v>
      </c>
      <c r="I485" s="10">
        <v>118</v>
      </c>
      <c r="J485" s="10">
        <v>70</v>
      </c>
      <c r="K485" s="11">
        <f t="shared" si="94"/>
        <v>55</v>
      </c>
      <c r="L485" s="11">
        <f t="shared" si="95"/>
        <v>16.857142857142858</v>
      </c>
      <c r="M485" s="12">
        <f t="shared" si="96"/>
        <v>0.30649350649350648</v>
      </c>
      <c r="N485" s="11">
        <f t="shared" si="97"/>
        <v>10</v>
      </c>
      <c r="O485" s="12">
        <f t="shared" si="98"/>
        <v>0.59322033898305082</v>
      </c>
      <c r="P485" s="12">
        <f t="shared" si="99"/>
        <v>0.18181818181818182</v>
      </c>
      <c r="Q485" s="13">
        <f t="shared" si="104"/>
        <v>16.857142857142858</v>
      </c>
      <c r="R485" s="13">
        <f t="shared" si="105"/>
        <v>10</v>
      </c>
    </row>
    <row r="486" spans="1:18" ht="15.75" customHeight="1" x14ac:dyDescent="0.3">
      <c r="A486" s="7" t="s">
        <v>239</v>
      </c>
      <c r="B486" s="7" t="s">
        <v>207</v>
      </c>
      <c r="C486" s="24" t="s">
        <v>34</v>
      </c>
      <c r="D486" s="24" t="s">
        <v>35</v>
      </c>
      <c r="E486" s="8">
        <v>46128</v>
      </c>
      <c r="F486" s="8">
        <v>46134</v>
      </c>
      <c r="G486" s="9">
        <v>7</v>
      </c>
      <c r="H486" s="10">
        <v>50</v>
      </c>
      <c r="I486" s="10">
        <v>6</v>
      </c>
      <c r="J486" s="10">
        <v>3</v>
      </c>
      <c r="K486" s="11">
        <f t="shared" si="94"/>
        <v>7.1428571428571432</v>
      </c>
      <c r="L486" s="11">
        <f t="shared" si="95"/>
        <v>0.8571428571428571</v>
      </c>
      <c r="M486" s="12">
        <f t="shared" si="96"/>
        <v>0.12</v>
      </c>
      <c r="N486" s="11">
        <f t="shared" si="97"/>
        <v>0.42857142857142855</v>
      </c>
      <c r="O486" s="12">
        <f t="shared" si="98"/>
        <v>0.5</v>
      </c>
      <c r="P486" s="12">
        <f t="shared" si="99"/>
        <v>0.06</v>
      </c>
      <c r="Q486" s="13">
        <f t="shared" si="104"/>
        <v>0.85714285714285721</v>
      </c>
      <c r="R486" s="13">
        <f t="shared" si="105"/>
        <v>0.4285714285714286</v>
      </c>
    </row>
    <row r="487" spans="1:18" ht="15.75" customHeight="1" x14ac:dyDescent="0.3">
      <c r="A487" s="7" t="s">
        <v>239</v>
      </c>
      <c r="B487" s="7" t="s">
        <v>142</v>
      </c>
      <c r="C487" s="24" t="s">
        <v>34</v>
      </c>
      <c r="D487" s="24" t="s">
        <v>39</v>
      </c>
      <c r="E487" s="8">
        <v>46128</v>
      </c>
      <c r="F487" s="8">
        <v>46134</v>
      </c>
      <c r="G487" s="9">
        <v>7</v>
      </c>
      <c r="H487" s="10">
        <v>22</v>
      </c>
      <c r="I487" s="10">
        <v>5</v>
      </c>
      <c r="J487" s="10">
        <v>3</v>
      </c>
      <c r="K487" s="11">
        <f t="shared" si="94"/>
        <v>3.1428571428571428</v>
      </c>
      <c r="L487" s="11">
        <f t="shared" si="95"/>
        <v>0.7142857142857143</v>
      </c>
      <c r="M487" s="12">
        <f t="shared" si="96"/>
        <v>0.22727272727272727</v>
      </c>
      <c r="N487" s="11">
        <f t="shared" si="97"/>
        <v>0.42857142857142855</v>
      </c>
      <c r="O487" s="12">
        <f t="shared" si="98"/>
        <v>0.6</v>
      </c>
      <c r="P487" s="12">
        <f t="shared" si="99"/>
        <v>0.13636363636363635</v>
      </c>
      <c r="Q487" s="13">
        <f t="shared" si="104"/>
        <v>0.7142857142857143</v>
      </c>
      <c r="R487" s="13">
        <f t="shared" si="105"/>
        <v>0.42857142857142855</v>
      </c>
    </row>
    <row r="488" spans="1:18" ht="15.75" customHeight="1" x14ac:dyDescent="0.3">
      <c r="A488" s="7" t="s">
        <v>239</v>
      </c>
      <c r="B488" s="7" t="s">
        <v>219</v>
      </c>
      <c r="C488" s="24" t="s">
        <v>34</v>
      </c>
      <c r="D488" s="24" t="s">
        <v>445</v>
      </c>
      <c r="E488" s="8">
        <v>46128</v>
      </c>
      <c r="F488" s="8">
        <v>46134</v>
      </c>
      <c r="G488" s="9">
        <v>7</v>
      </c>
      <c r="H488" s="10">
        <v>203</v>
      </c>
      <c r="I488" s="10">
        <v>25</v>
      </c>
      <c r="J488" s="10">
        <v>13</v>
      </c>
      <c r="K488" s="11">
        <f t="shared" si="94"/>
        <v>29</v>
      </c>
      <c r="L488" s="11">
        <f t="shared" si="95"/>
        <v>3.5714285714285716</v>
      </c>
      <c r="M488" s="12">
        <f t="shared" si="96"/>
        <v>0.12315270935960591</v>
      </c>
      <c r="N488" s="11">
        <f t="shared" si="97"/>
        <v>1.8571428571428572</v>
      </c>
      <c r="O488" s="12">
        <f t="shared" si="98"/>
        <v>0.52</v>
      </c>
      <c r="P488" s="12">
        <f t="shared" si="99"/>
        <v>6.4039408866995079E-2</v>
      </c>
      <c r="Q488" s="13">
        <f t="shared" si="104"/>
        <v>3.5714285714285716</v>
      </c>
      <c r="R488" s="13">
        <f t="shared" si="105"/>
        <v>1.8571428571428572</v>
      </c>
    </row>
    <row r="489" spans="1:18" ht="15.75" customHeight="1" x14ac:dyDescent="0.3">
      <c r="A489" s="7" t="s">
        <v>239</v>
      </c>
      <c r="B489" s="7" t="s">
        <v>46</v>
      </c>
      <c r="C489" s="24" t="s">
        <v>47</v>
      </c>
      <c r="D489" s="24" t="s">
        <v>48</v>
      </c>
      <c r="E489" s="8">
        <v>46128</v>
      </c>
      <c r="F489" s="8">
        <v>46134</v>
      </c>
      <c r="G489" s="9">
        <v>7</v>
      </c>
      <c r="H489" s="10">
        <v>292</v>
      </c>
      <c r="I489" s="10">
        <v>112</v>
      </c>
      <c r="J489" s="10">
        <v>78</v>
      </c>
      <c r="K489" s="11">
        <f t="shared" si="94"/>
        <v>41.714285714285715</v>
      </c>
      <c r="L489" s="11">
        <f t="shared" si="95"/>
        <v>16</v>
      </c>
      <c r="M489" s="12">
        <f t="shared" si="96"/>
        <v>0.38356164383561642</v>
      </c>
      <c r="N489" s="11">
        <f t="shared" si="97"/>
        <v>11.142857142857142</v>
      </c>
      <c r="O489" s="12">
        <f t="shared" si="98"/>
        <v>0.6964285714285714</v>
      </c>
      <c r="P489" s="12">
        <f t="shared" si="99"/>
        <v>0.26712328767123289</v>
      </c>
      <c r="Q489" s="13">
        <f t="shared" si="104"/>
        <v>16</v>
      </c>
      <c r="R489" s="13">
        <f t="shared" si="105"/>
        <v>11.142857142857144</v>
      </c>
    </row>
    <row r="490" spans="1:18" ht="15.75" customHeight="1" x14ac:dyDescent="0.3">
      <c r="A490" s="7" t="s">
        <v>239</v>
      </c>
      <c r="B490" s="7" t="s">
        <v>49</v>
      </c>
      <c r="C490" s="24" t="s">
        <v>47</v>
      </c>
      <c r="D490" s="24" t="s">
        <v>48</v>
      </c>
      <c r="E490" s="8">
        <v>46128</v>
      </c>
      <c r="F490" s="8">
        <v>46134</v>
      </c>
      <c r="G490" s="9">
        <v>7</v>
      </c>
      <c r="H490" s="10">
        <v>15</v>
      </c>
      <c r="I490" s="10">
        <v>7</v>
      </c>
      <c r="J490" s="10">
        <v>4</v>
      </c>
      <c r="K490" s="11">
        <f t="shared" si="94"/>
        <v>2.1428571428571428</v>
      </c>
      <c r="L490" s="11">
        <f t="shared" si="95"/>
        <v>1</v>
      </c>
      <c r="M490" s="12">
        <f t="shared" si="96"/>
        <v>0.46666666666666667</v>
      </c>
      <c r="N490" s="11">
        <f t="shared" si="97"/>
        <v>0.5714285714285714</v>
      </c>
      <c r="O490" s="12">
        <f t="shared" si="98"/>
        <v>0.5714285714285714</v>
      </c>
      <c r="P490" s="12">
        <f t="shared" si="99"/>
        <v>0.26666666666666666</v>
      </c>
      <c r="Q490" s="13">
        <f t="shared" si="104"/>
        <v>1</v>
      </c>
      <c r="R490" s="13">
        <f t="shared" si="105"/>
        <v>0.5714285714285714</v>
      </c>
    </row>
    <row r="491" spans="1:18" ht="15.75" customHeight="1" x14ac:dyDescent="0.3">
      <c r="A491" s="7" t="s">
        <v>239</v>
      </c>
      <c r="B491" s="7" t="s">
        <v>50</v>
      </c>
      <c r="C491" s="24" t="s">
        <v>47</v>
      </c>
      <c r="D491" s="24" t="s">
        <v>48</v>
      </c>
      <c r="E491" s="8">
        <v>46128</v>
      </c>
      <c r="F491" s="8">
        <v>46134</v>
      </c>
      <c r="G491" s="9">
        <v>7</v>
      </c>
      <c r="H491" s="10">
        <v>457</v>
      </c>
      <c r="I491" s="10">
        <v>109</v>
      </c>
      <c r="J491" s="10">
        <v>91</v>
      </c>
      <c r="K491" s="11">
        <f t="shared" si="94"/>
        <v>65.285714285714292</v>
      </c>
      <c r="L491" s="11">
        <f t="shared" si="95"/>
        <v>15.571428571428571</v>
      </c>
      <c r="M491" s="12">
        <f t="shared" si="96"/>
        <v>0.23851203501094093</v>
      </c>
      <c r="N491" s="11">
        <f t="shared" si="97"/>
        <v>13</v>
      </c>
      <c r="O491" s="12">
        <f t="shared" si="98"/>
        <v>0.83486238532110091</v>
      </c>
      <c r="P491" s="12">
        <f t="shared" si="99"/>
        <v>0.19912472647702406</v>
      </c>
      <c r="Q491" s="13">
        <f t="shared" si="104"/>
        <v>15.571428571428573</v>
      </c>
      <c r="R491" s="13">
        <f t="shared" si="105"/>
        <v>13</v>
      </c>
    </row>
    <row r="492" spans="1:18" ht="15.75" customHeight="1" x14ac:dyDescent="0.3">
      <c r="A492" s="7" t="s">
        <v>239</v>
      </c>
      <c r="B492" s="7" t="s">
        <v>51</v>
      </c>
      <c r="C492" s="24" t="s">
        <v>47</v>
      </c>
      <c r="D492" s="24" t="s">
        <v>48</v>
      </c>
      <c r="E492" s="8">
        <v>46128</v>
      </c>
      <c r="F492" s="8">
        <v>46134</v>
      </c>
      <c r="G492" s="9">
        <v>7</v>
      </c>
      <c r="H492" s="10">
        <v>40</v>
      </c>
      <c r="I492" s="10">
        <v>13</v>
      </c>
      <c r="J492" s="10">
        <v>9</v>
      </c>
      <c r="K492" s="11">
        <f t="shared" si="94"/>
        <v>5.7142857142857144</v>
      </c>
      <c r="L492" s="11">
        <f t="shared" si="95"/>
        <v>1.8571428571428572</v>
      </c>
      <c r="M492" s="12">
        <f t="shared" si="96"/>
        <v>0.32500000000000001</v>
      </c>
      <c r="N492" s="11">
        <f t="shared" si="97"/>
        <v>1.2857142857142858</v>
      </c>
      <c r="O492" s="12">
        <f t="shared" si="98"/>
        <v>0.69230769230769229</v>
      </c>
      <c r="P492" s="12">
        <f t="shared" si="99"/>
        <v>0.22500000000000001</v>
      </c>
      <c r="Q492" s="13">
        <f t="shared" si="104"/>
        <v>1.8571428571428572</v>
      </c>
      <c r="R492" s="13">
        <f t="shared" si="105"/>
        <v>1.2857142857142858</v>
      </c>
    </row>
    <row r="493" spans="1:18" ht="15.75" customHeight="1" x14ac:dyDescent="0.3">
      <c r="A493" s="7" t="s">
        <v>239</v>
      </c>
      <c r="B493" s="7" t="s">
        <v>54</v>
      </c>
      <c r="C493" s="24" t="s">
        <v>47</v>
      </c>
      <c r="D493" s="24" t="s">
        <v>53</v>
      </c>
      <c r="E493" s="8">
        <v>46128</v>
      </c>
      <c r="F493" s="8">
        <v>46134</v>
      </c>
      <c r="G493" s="9">
        <v>7</v>
      </c>
      <c r="H493" s="10">
        <v>462</v>
      </c>
      <c r="I493" s="10">
        <v>131</v>
      </c>
      <c r="J493" s="10">
        <v>95</v>
      </c>
      <c r="K493" s="11">
        <f t="shared" si="94"/>
        <v>66</v>
      </c>
      <c r="L493" s="11">
        <f t="shared" si="95"/>
        <v>18.714285714285715</v>
      </c>
      <c r="M493" s="12">
        <f t="shared" si="96"/>
        <v>0.28354978354978355</v>
      </c>
      <c r="N493" s="11">
        <f t="shared" si="97"/>
        <v>13.571428571428571</v>
      </c>
      <c r="O493" s="12">
        <f t="shared" si="98"/>
        <v>0.72519083969465647</v>
      </c>
      <c r="P493" s="12">
        <f t="shared" si="99"/>
        <v>0.20562770562770563</v>
      </c>
      <c r="Q493" s="13">
        <f t="shared" si="104"/>
        <v>18.714285714285715</v>
      </c>
      <c r="R493" s="13">
        <f t="shared" si="105"/>
        <v>13.571428571428571</v>
      </c>
    </row>
    <row r="494" spans="1:18" ht="15.75" customHeight="1" x14ac:dyDescent="0.3">
      <c r="A494" s="7" t="s">
        <v>239</v>
      </c>
      <c r="B494" s="7" t="s">
        <v>60</v>
      </c>
      <c r="C494" s="24" t="s">
        <v>58</v>
      </c>
      <c r="D494" s="24" t="s">
        <v>61</v>
      </c>
      <c r="E494" s="8">
        <v>46128</v>
      </c>
      <c r="F494" s="8">
        <v>46134</v>
      </c>
      <c r="G494" s="9">
        <v>7</v>
      </c>
      <c r="H494" s="10">
        <v>205</v>
      </c>
      <c r="I494" s="10">
        <v>51</v>
      </c>
      <c r="J494" s="10">
        <v>34</v>
      </c>
      <c r="K494" s="11">
        <f t="shared" si="94"/>
        <v>29.285714285714285</v>
      </c>
      <c r="L494" s="11">
        <f t="shared" si="95"/>
        <v>7.2857142857142856</v>
      </c>
      <c r="M494" s="12">
        <f t="shared" si="96"/>
        <v>0.24878048780487805</v>
      </c>
      <c r="N494" s="11">
        <f t="shared" si="97"/>
        <v>4.8571428571428568</v>
      </c>
      <c r="O494" s="12">
        <f t="shared" si="98"/>
        <v>0.66666666666666663</v>
      </c>
      <c r="P494" s="12">
        <f t="shared" si="99"/>
        <v>0.16585365853658537</v>
      </c>
      <c r="Q494" s="13">
        <f t="shared" si="104"/>
        <v>7.2857142857142856</v>
      </c>
      <c r="R494" s="13">
        <f t="shared" si="105"/>
        <v>4.8571428571428577</v>
      </c>
    </row>
    <row r="495" spans="1:18" ht="15.75" customHeight="1" x14ac:dyDescent="0.3">
      <c r="A495" s="7" t="s">
        <v>239</v>
      </c>
      <c r="B495" s="7" t="s">
        <v>235</v>
      </c>
      <c r="C495" s="24" t="s">
        <v>58</v>
      </c>
      <c r="D495" s="24" t="s">
        <v>107</v>
      </c>
      <c r="E495" s="8">
        <v>46128</v>
      </c>
      <c r="F495" s="8">
        <v>46134</v>
      </c>
      <c r="G495" s="9">
        <v>7</v>
      </c>
      <c r="H495" s="10">
        <v>49</v>
      </c>
      <c r="I495" s="10">
        <v>19</v>
      </c>
      <c r="J495" s="10">
        <v>13</v>
      </c>
      <c r="K495" s="11">
        <f t="shared" si="94"/>
        <v>7</v>
      </c>
      <c r="L495" s="11">
        <f t="shared" si="95"/>
        <v>2.7142857142857144</v>
      </c>
      <c r="M495" s="12">
        <f t="shared" si="96"/>
        <v>0.38775510204081631</v>
      </c>
      <c r="N495" s="11">
        <f t="shared" si="97"/>
        <v>1.8571428571428572</v>
      </c>
      <c r="O495" s="12">
        <f t="shared" si="98"/>
        <v>0.68421052631578949</v>
      </c>
      <c r="P495" s="12">
        <f t="shared" si="99"/>
        <v>0.26530612244897961</v>
      </c>
      <c r="Q495" s="13">
        <f t="shared" si="104"/>
        <v>2.7142857142857144</v>
      </c>
      <c r="R495" s="13">
        <f t="shared" si="105"/>
        <v>1.8571428571428572</v>
      </c>
    </row>
    <row r="496" spans="1:18" ht="15.75" customHeight="1" x14ac:dyDescent="0.3">
      <c r="A496" s="7" t="s">
        <v>239</v>
      </c>
      <c r="B496" s="7" t="s">
        <v>236</v>
      </c>
      <c r="C496" s="24" t="s">
        <v>58</v>
      </c>
      <c r="D496" s="24" t="s">
        <v>61</v>
      </c>
      <c r="E496" s="8">
        <v>46128</v>
      </c>
      <c r="F496" s="8">
        <v>46134</v>
      </c>
      <c r="G496" s="9">
        <v>7</v>
      </c>
      <c r="H496" s="10">
        <v>129</v>
      </c>
      <c r="I496" s="10">
        <v>18</v>
      </c>
      <c r="J496" s="10">
        <v>13</v>
      </c>
      <c r="K496" s="11">
        <f t="shared" si="94"/>
        <v>18.428571428571427</v>
      </c>
      <c r="L496" s="11">
        <f t="shared" si="95"/>
        <v>2.5714285714285716</v>
      </c>
      <c r="M496" s="12">
        <f t="shared" si="96"/>
        <v>0.13953488372093023</v>
      </c>
      <c r="N496" s="11">
        <f t="shared" si="97"/>
        <v>1.8571428571428572</v>
      </c>
      <c r="O496" s="12">
        <f t="shared" si="98"/>
        <v>0.72222222222222221</v>
      </c>
      <c r="P496" s="12">
        <f t="shared" si="99"/>
        <v>0.10077519379844961</v>
      </c>
      <c r="Q496" s="13">
        <f t="shared" si="104"/>
        <v>2.5714285714285712</v>
      </c>
      <c r="R496" s="13">
        <f t="shared" si="105"/>
        <v>1.857142857142857</v>
      </c>
    </row>
    <row r="497" spans="1:18" ht="15.75" customHeight="1" x14ac:dyDescent="0.3">
      <c r="A497" s="7" t="s">
        <v>239</v>
      </c>
      <c r="B497" s="7" t="s">
        <v>237</v>
      </c>
      <c r="C497" s="24" t="s">
        <v>58</v>
      </c>
      <c r="D497" s="24" t="s">
        <v>107</v>
      </c>
      <c r="E497" s="8">
        <v>46128</v>
      </c>
      <c r="F497" s="8">
        <v>46134</v>
      </c>
      <c r="G497" s="9">
        <v>7</v>
      </c>
      <c r="H497" s="10">
        <v>29</v>
      </c>
      <c r="I497" s="10">
        <v>14</v>
      </c>
      <c r="J497" s="10">
        <v>9</v>
      </c>
      <c r="K497" s="11">
        <f t="shared" si="94"/>
        <v>4.1428571428571432</v>
      </c>
      <c r="L497" s="11">
        <f t="shared" si="95"/>
        <v>2</v>
      </c>
      <c r="M497" s="12">
        <f t="shared" si="96"/>
        <v>0.48275862068965519</v>
      </c>
      <c r="N497" s="11">
        <f t="shared" si="97"/>
        <v>1.2857142857142858</v>
      </c>
      <c r="O497" s="12">
        <f t="shared" si="98"/>
        <v>0.6428571428571429</v>
      </c>
      <c r="P497" s="12">
        <f t="shared" si="99"/>
        <v>0.31034482758620691</v>
      </c>
      <c r="Q497" s="13">
        <f t="shared" si="104"/>
        <v>2.0000000000000004</v>
      </c>
      <c r="R497" s="13">
        <f t="shared" si="105"/>
        <v>1.2857142857142858</v>
      </c>
    </row>
    <row r="498" spans="1:18" ht="15.75" customHeight="1" x14ac:dyDescent="0.3">
      <c r="A498" s="7" t="s">
        <v>239</v>
      </c>
      <c r="B498" s="7" t="s">
        <v>86</v>
      </c>
      <c r="C498" s="24" t="s">
        <v>58</v>
      </c>
      <c r="D498" s="24" t="s">
        <v>64</v>
      </c>
      <c r="E498" s="8">
        <v>46128</v>
      </c>
      <c r="F498" s="8">
        <v>46134</v>
      </c>
      <c r="G498" s="9">
        <v>7</v>
      </c>
      <c r="H498" s="10">
        <v>4</v>
      </c>
      <c r="I498" s="10">
        <v>1</v>
      </c>
      <c r="J498" s="10">
        <v>1</v>
      </c>
      <c r="K498" s="11">
        <f t="shared" si="94"/>
        <v>0.5714285714285714</v>
      </c>
      <c r="L498" s="11">
        <f t="shared" si="95"/>
        <v>0.14285714285714285</v>
      </c>
      <c r="M498" s="12">
        <f t="shared" si="96"/>
        <v>0.25</v>
      </c>
      <c r="N498" s="11">
        <f t="shared" si="97"/>
        <v>0.14285714285714285</v>
      </c>
      <c r="O498" s="12">
        <f t="shared" si="98"/>
        <v>1</v>
      </c>
      <c r="P498" s="12">
        <f t="shared" si="99"/>
        <v>0.25</v>
      </c>
      <c r="Q498" s="13">
        <f t="shared" si="104"/>
        <v>0.14285714285714285</v>
      </c>
      <c r="R498" s="13">
        <f t="shared" si="105"/>
        <v>0.14285714285714285</v>
      </c>
    </row>
    <row r="499" spans="1:18" ht="15.75" customHeight="1" x14ac:dyDescent="0.3">
      <c r="A499" s="7" t="s">
        <v>239</v>
      </c>
      <c r="B499" s="7" t="s">
        <v>87</v>
      </c>
      <c r="C499" s="24" t="s">
        <v>58</v>
      </c>
      <c r="D499" s="24" t="s">
        <v>64</v>
      </c>
      <c r="E499" s="8">
        <v>46128</v>
      </c>
      <c r="F499" s="8">
        <v>46134</v>
      </c>
      <c r="G499" s="9">
        <v>7</v>
      </c>
      <c r="H499" s="10">
        <v>0</v>
      </c>
      <c r="I499" s="10">
        <v>0</v>
      </c>
      <c r="J499" s="10">
        <v>0</v>
      </c>
      <c r="K499" s="11">
        <f t="shared" si="94"/>
        <v>0</v>
      </c>
      <c r="L499" s="11">
        <f t="shared" si="95"/>
        <v>0</v>
      </c>
      <c r="M499" s="12" t="str">
        <f t="shared" si="96"/>
        <v/>
      </c>
      <c r="N499" s="11">
        <f t="shared" si="97"/>
        <v>0</v>
      </c>
      <c r="O499" s="12" t="str">
        <f t="shared" si="98"/>
        <v/>
      </c>
      <c r="P499" s="12" t="str">
        <f t="shared" si="99"/>
        <v/>
      </c>
      <c r="Q499" s="13" t="str">
        <f t="shared" si="104"/>
        <v/>
      </c>
      <c r="R499" s="13" t="str">
        <f t="shared" si="105"/>
        <v/>
      </c>
    </row>
    <row r="500" spans="1:18" ht="15.75" customHeight="1" x14ac:dyDescent="0.3">
      <c r="A500" s="7" t="s">
        <v>239</v>
      </c>
      <c r="B500" s="7" t="s">
        <v>63</v>
      </c>
      <c r="C500" s="24" t="s">
        <v>58</v>
      </c>
      <c r="D500" s="24" t="s">
        <v>64</v>
      </c>
      <c r="E500" s="8">
        <v>46128</v>
      </c>
      <c r="F500" s="8">
        <v>46134</v>
      </c>
      <c r="G500" s="9">
        <v>7</v>
      </c>
      <c r="H500" s="10">
        <v>31</v>
      </c>
      <c r="I500" s="10">
        <v>20</v>
      </c>
      <c r="J500" s="10">
        <v>13</v>
      </c>
      <c r="K500" s="11">
        <f t="shared" si="94"/>
        <v>4.4285714285714288</v>
      </c>
      <c r="L500" s="11">
        <f t="shared" si="95"/>
        <v>2.8571428571428572</v>
      </c>
      <c r="M500" s="12">
        <f t="shared" si="96"/>
        <v>0.64516129032258063</v>
      </c>
      <c r="N500" s="11">
        <f t="shared" si="97"/>
        <v>1.8571428571428572</v>
      </c>
      <c r="O500" s="12">
        <f t="shared" si="98"/>
        <v>0.65</v>
      </c>
      <c r="P500" s="12">
        <f t="shared" si="99"/>
        <v>0.41935483870967744</v>
      </c>
      <c r="Q500" s="13">
        <f t="shared" si="104"/>
        <v>2.8571428571428572</v>
      </c>
      <c r="R500" s="13">
        <f t="shared" si="105"/>
        <v>1.8571428571428574</v>
      </c>
    </row>
    <row r="501" spans="1:18" ht="15.75" customHeight="1" x14ac:dyDescent="0.3">
      <c r="A501" s="7" t="s">
        <v>239</v>
      </c>
      <c r="B501" s="7" t="s">
        <v>195</v>
      </c>
      <c r="C501" s="24" t="s">
        <v>58</v>
      </c>
      <c r="D501" s="24" t="s">
        <v>444</v>
      </c>
      <c r="E501" s="8">
        <v>46128</v>
      </c>
      <c r="F501" s="8">
        <v>46134</v>
      </c>
      <c r="G501" s="9">
        <v>7</v>
      </c>
      <c r="H501" s="10">
        <v>85</v>
      </c>
      <c r="I501" s="10">
        <v>31</v>
      </c>
      <c r="J501" s="10">
        <v>22</v>
      </c>
      <c r="K501" s="11">
        <f t="shared" si="94"/>
        <v>12.142857142857142</v>
      </c>
      <c r="L501" s="11">
        <f t="shared" si="95"/>
        <v>4.4285714285714288</v>
      </c>
      <c r="M501" s="12">
        <f t="shared" si="96"/>
        <v>0.36470588235294116</v>
      </c>
      <c r="N501" s="11">
        <f t="shared" si="97"/>
        <v>3.1428571428571428</v>
      </c>
      <c r="O501" s="12">
        <f t="shared" si="98"/>
        <v>0.70967741935483875</v>
      </c>
      <c r="P501" s="12">
        <f t="shared" si="99"/>
        <v>0.25882352941176473</v>
      </c>
      <c r="Q501" s="13">
        <f t="shared" si="104"/>
        <v>4.4285714285714279</v>
      </c>
      <c r="R501" s="13">
        <f t="shared" si="105"/>
        <v>3.1428571428571432</v>
      </c>
    </row>
    <row r="502" spans="1:18" ht="15.75" customHeight="1" x14ac:dyDescent="0.3">
      <c r="A502" s="7" t="s">
        <v>239</v>
      </c>
      <c r="B502" s="7" t="s">
        <v>196</v>
      </c>
      <c r="C502" s="24" t="s">
        <v>58</v>
      </c>
      <c r="D502" s="24" t="s">
        <v>66</v>
      </c>
      <c r="E502" s="8">
        <v>46128</v>
      </c>
      <c r="F502" s="8">
        <v>46134</v>
      </c>
      <c r="G502" s="9">
        <v>7</v>
      </c>
      <c r="H502" s="10">
        <v>158</v>
      </c>
      <c r="I502" s="10">
        <v>46</v>
      </c>
      <c r="J502" s="10">
        <v>31</v>
      </c>
      <c r="K502" s="11">
        <f t="shared" si="94"/>
        <v>22.571428571428573</v>
      </c>
      <c r="L502" s="11">
        <f t="shared" si="95"/>
        <v>6.5714285714285712</v>
      </c>
      <c r="M502" s="12">
        <f t="shared" si="96"/>
        <v>0.29113924050632911</v>
      </c>
      <c r="N502" s="11">
        <f t="shared" si="97"/>
        <v>4.4285714285714288</v>
      </c>
      <c r="O502" s="12">
        <f t="shared" si="98"/>
        <v>0.67391304347826086</v>
      </c>
      <c r="P502" s="12">
        <f t="shared" si="99"/>
        <v>0.19620253164556961</v>
      </c>
      <c r="Q502" s="13">
        <f t="shared" si="104"/>
        <v>6.5714285714285721</v>
      </c>
      <c r="R502" s="13">
        <f t="shared" si="105"/>
        <v>4.4285714285714288</v>
      </c>
    </row>
    <row r="503" spans="1:18" ht="15.75" customHeight="1" x14ac:dyDescent="0.3">
      <c r="A503" s="7" t="s">
        <v>239</v>
      </c>
      <c r="B503" s="7" t="s">
        <v>197</v>
      </c>
      <c r="C503" s="24" t="s">
        <v>58</v>
      </c>
      <c r="D503" s="24" t="s">
        <v>68</v>
      </c>
      <c r="E503" s="8">
        <v>46128</v>
      </c>
      <c r="F503" s="8">
        <v>46134</v>
      </c>
      <c r="G503" s="9">
        <v>7</v>
      </c>
      <c r="H503" s="10">
        <v>8</v>
      </c>
      <c r="I503" s="10">
        <v>3</v>
      </c>
      <c r="J503" s="10">
        <v>3</v>
      </c>
      <c r="K503" s="11">
        <f t="shared" si="94"/>
        <v>1.1428571428571428</v>
      </c>
      <c r="L503" s="11">
        <f t="shared" si="95"/>
        <v>0.42857142857142855</v>
      </c>
      <c r="M503" s="12">
        <f t="shared" si="96"/>
        <v>0.375</v>
      </c>
      <c r="N503" s="11">
        <f t="shared" si="97"/>
        <v>0.42857142857142855</v>
      </c>
      <c r="O503" s="12">
        <f t="shared" si="98"/>
        <v>1</v>
      </c>
      <c r="P503" s="12">
        <f t="shared" si="99"/>
        <v>0.375</v>
      </c>
      <c r="Q503" s="13">
        <f t="shared" si="104"/>
        <v>0.42857142857142855</v>
      </c>
      <c r="R503" s="13">
        <f t="shared" si="105"/>
        <v>0.42857142857142855</v>
      </c>
    </row>
    <row r="504" spans="1:18" ht="15.75" customHeight="1" x14ac:dyDescent="0.3">
      <c r="A504" s="7" t="s">
        <v>239</v>
      </c>
      <c r="B504" s="7" t="s">
        <v>71</v>
      </c>
      <c r="C504" s="24" t="s">
        <v>58</v>
      </c>
      <c r="D504" s="24" t="s">
        <v>66</v>
      </c>
      <c r="E504" s="8">
        <v>46128</v>
      </c>
      <c r="F504" s="8">
        <v>46134</v>
      </c>
      <c r="G504" s="9">
        <v>7</v>
      </c>
      <c r="H504" s="10">
        <v>53</v>
      </c>
      <c r="I504" s="10">
        <v>18</v>
      </c>
      <c r="J504" s="10">
        <v>11</v>
      </c>
      <c r="K504" s="11">
        <f t="shared" ref="K504:K567" si="106">IFERROR(H504/G504,"")</f>
        <v>7.5714285714285712</v>
      </c>
      <c r="L504" s="11">
        <f t="shared" ref="L504:L567" si="107">IFERROR(I504/G504,"")</f>
        <v>2.5714285714285716</v>
      </c>
      <c r="M504" s="12">
        <f t="shared" ref="M504:M567" si="108">IFERROR(I504/H504,"")</f>
        <v>0.33962264150943394</v>
      </c>
      <c r="N504" s="11">
        <f t="shared" ref="N504:N567" si="109">IFERROR(J504/G504,"")</f>
        <v>1.5714285714285714</v>
      </c>
      <c r="O504" s="12">
        <f t="shared" ref="O504:O567" si="110">IFERROR(J504/I504,"")</f>
        <v>0.61111111111111116</v>
      </c>
      <c r="P504" s="12">
        <f t="shared" ref="P504:P567" si="111">IFERROR(J504/H504,"")</f>
        <v>0.20754716981132076</v>
      </c>
      <c r="Q504" s="13">
        <f t="shared" si="104"/>
        <v>2.5714285714285712</v>
      </c>
      <c r="R504" s="13">
        <f t="shared" si="105"/>
        <v>1.5714285714285714</v>
      </c>
    </row>
    <row r="505" spans="1:18" ht="15.75" customHeight="1" x14ac:dyDescent="0.3">
      <c r="A505" s="7" t="s">
        <v>239</v>
      </c>
      <c r="B505" s="7" t="s">
        <v>72</v>
      </c>
      <c r="C505" s="24" t="s">
        <v>58</v>
      </c>
      <c r="D505" s="24" t="s">
        <v>68</v>
      </c>
      <c r="E505" s="8">
        <v>46128</v>
      </c>
      <c r="F505" s="8">
        <v>46134</v>
      </c>
      <c r="G505" s="9">
        <v>7</v>
      </c>
      <c r="H505" s="10">
        <v>12</v>
      </c>
      <c r="I505" s="10">
        <v>2</v>
      </c>
      <c r="J505" s="10">
        <v>2</v>
      </c>
      <c r="K505" s="11">
        <f t="shared" si="106"/>
        <v>1.7142857142857142</v>
      </c>
      <c r="L505" s="11">
        <f t="shared" si="107"/>
        <v>0.2857142857142857</v>
      </c>
      <c r="M505" s="12">
        <f t="shared" si="108"/>
        <v>0.16666666666666666</v>
      </c>
      <c r="N505" s="11">
        <f t="shared" si="109"/>
        <v>0.2857142857142857</v>
      </c>
      <c r="O505" s="12">
        <f t="shared" si="110"/>
        <v>1</v>
      </c>
      <c r="P505" s="12">
        <f t="shared" si="111"/>
        <v>0.16666666666666666</v>
      </c>
      <c r="Q505" s="13">
        <f t="shared" si="104"/>
        <v>0.2857142857142857</v>
      </c>
      <c r="R505" s="13">
        <f t="shared" si="105"/>
        <v>0.2857142857142857</v>
      </c>
    </row>
    <row r="506" spans="1:18" ht="15.75" customHeight="1" x14ac:dyDescent="0.3">
      <c r="A506" s="7" t="s">
        <v>239</v>
      </c>
      <c r="B506" s="7" t="s">
        <v>167</v>
      </c>
      <c r="C506" s="24" t="s">
        <v>58</v>
      </c>
      <c r="D506" s="24" t="s">
        <v>66</v>
      </c>
      <c r="E506" s="8">
        <v>46128</v>
      </c>
      <c r="F506" s="8">
        <v>46134</v>
      </c>
      <c r="G506" s="9">
        <v>7</v>
      </c>
      <c r="H506" s="10">
        <v>49</v>
      </c>
      <c r="I506" s="10">
        <v>8</v>
      </c>
      <c r="J506" s="10">
        <v>5</v>
      </c>
      <c r="K506" s="11">
        <f t="shared" si="106"/>
        <v>7</v>
      </c>
      <c r="L506" s="11">
        <f t="shared" si="107"/>
        <v>1.1428571428571428</v>
      </c>
      <c r="M506" s="12">
        <f t="shared" si="108"/>
        <v>0.16326530612244897</v>
      </c>
      <c r="N506" s="11">
        <f t="shared" si="109"/>
        <v>0.7142857142857143</v>
      </c>
      <c r="O506" s="12">
        <f t="shared" si="110"/>
        <v>0.625</v>
      </c>
      <c r="P506" s="12">
        <f t="shared" si="111"/>
        <v>0.10204081632653061</v>
      </c>
      <c r="Q506" s="13">
        <f t="shared" si="104"/>
        <v>1.1428571428571428</v>
      </c>
      <c r="R506" s="13">
        <f t="shared" si="105"/>
        <v>0.7142857142857143</v>
      </c>
    </row>
    <row r="507" spans="1:18" ht="15.75" customHeight="1" x14ac:dyDescent="0.3">
      <c r="A507" s="7" t="s">
        <v>239</v>
      </c>
      <c r="B507" s="7" t="s">
        <v>168</v>
      </c>
      <c r="C507" s="24" t="s">
        <v>58</v>
      </c>
      <c r="D507" s="24" t="s">
        <v>68</v>
      </c>
      <c r="E507" s="8">
        <v>46128</v>
      </c>
      <c r="F507" s="8">
        <v>46134</v>
      </c>
      <c r="G507" s="9">
        <v>7</v>
      </c>
      <c r="H507" s="10">
        <v>0</v>
      </c>
      <c r="I507" s="10">
        <v>0</v>
      </c>
      <c r="J507" s="10">
        <v>0</v>
      </c>
      <c r="K507" s="11">
        <f t="shared" si="106"/>
        <v>0</v>
      </c>
      <c r="L507" s="11">
        <f t="shared" si="107"/>
        <v>0</v>
      </c>
      <c r="M507" s="12" t="str">
        <f t="shared" si="108"/>
        <v/>
      </c>
      <c r="N507" s="11">
        <f t="shared" si="109"/>
        <v>0</v>
      </c>
      <c r="O507" s="12" t="str">
        <f t="shared" si="110"/>
        <v/>
      </c>
      <c r="P507" s="12" t="str">
        <f t="shared" si="111"/>
        <v/>
      </c>
      <c r="Q507" s="13" t="str">
        <f t="shared" si="104"/>
        <v/>
      </c>
      <c r="R507" s="13" t="str">
        <f t="shared" si="105"/>
        <v/>
      </c>
    </row>
    <row r="508" spans="1:18" ht="15.75" customHeight="1" x14ac:dyDescent="0.3">
      <c r="A508" s="7" t="s">
        <v>239</v>
      </c>
      <c r="B508" s="7" t="s">
        <v>238</v>
      </c>
      <c r="C508" s="24" t="s">
        <v>58</v>
      </c>
      <c r="D508" s="24" t="s">
        <v>66</v>
      </c>
      <c r="E508" s="8">
        <v>46128</v>
      </c>
      <c r="F508" s="8">
        <v>46134</v>
      </c>
      <c r="G508" s="9">
        <v>7</v>
      </c>
      <c r="H508" s="10">
        <v>29</v>
      </c>
      <c r="I508" s="10">
        <v>4</v>
      </c>
      <c r="J508" s="10">
        <v>4</v>
      </c>
      <c r="K508" s="11">
        <f t="shared" si="106"/>
        <v>4.1428571428571432</v>
      </c>
      <c r="L508" s="11">
        <f t="shared" si="107"/>
        <v>0.5714285714285714</v>
      </c>
      <c r="M508" s="12">
        <f t="shared" si="108"/>
        <v>0.13793103448275862</v>
      </c>
      <c r="N508" s="11">
        <f t="shared" si="109"/>
        <v>0.5714285714285714</v>
      </c>
      <c r="O508" s="12">
        <f t="shared" si="110"/>
        <v>1</v>
      </c>
      <c r="P508" s="12">
        <f t="shared" si="111"/>
        <v>0.13793103448275862</v>
      </c>
      <c r="Q508" s="13">
        <f t="shared" si="104"/>
        <v>0.57142857142857151</v>
      </c>
      <c r="R508" s="13">
        <f t="shared" si="105"/>
        <v>0.57142857142857151</v>
      </c>
    </row>
    <row r="509" spans="1:18" ht="15.75" customHeight="1" x14ac:dyDescent="0.3">
      <c r="A509" s="7" t="s">
        <v>239</v>
      </c>
      <c r="B509" s="7" t="s">
        <v>155</v>
      </c>
      <c r="C509" s="24" t="s">
        <v>58</v>
      </c>
      <c r="D509" s="24" t="s">
        <v>59</v>
      </c>
      <c r="E509" s="8">
        <v>46128</v>
      </c>
      <c r="F509" s="8">
        <v>46134</v>
      </c>
      <c r="G509" s="9">
        <v>7</v>
      </c>
      <c r="H509" s="10">
        <v>15</v>
      </c>
      <c r="I509" s="10">
        <v>6</v>
      </c>
      <c r="J509" s="10">
        <v>3</v>
      </c>
      <c r="K509" s="11">
        <f t="shared" si="106"/>
        <v>2.1428571428571428</v>
      </c>
      <c r="L509" s="11">
        <f t="shared" si="107"/>
        <v>0.8571428571428571</v>
      </c>
      <c r="M509" s="12">
        <f t="shared" si="108"/>
        <v>0.4</v>
      </c>
      <c r="N509" s="11">
        <f t="shared" si="109"/>
        <v>0.42857142857142855</v>
      </c>
      <c r="O509" s="12">
        <f t="shared" si="110"/>
        <v>0.5</v>
      </c>
      <c r="P509" s="12">
        <f t="shared" si="111"/>
        <v>0.2</v>
      </c>
      <c r="Q509" s="13">
        <f t="shared" si="104"/>
        <v>0.85714285714285721</v>
      </c>
      <c r="R509" s="13">
        <f t="shared" si="105"/>
        <v>0.4285714285714286</v>
      </c>
    </row>
    <row r="510" spans="1:18" ht="15.75" customHeight="1" x14ac:dyDescent="0.3">
      <c r="A510" s="7" t="s">
        <v>239</v>
      </c>
      <c r="B510" s="7" t="s">
        <v>33</v>
      </c>
      <c r="C510" s="24" t="s">
        <v>34</v>
      </c>
      <c r="D510" s="24" t="s">
        <v>35</v>
      </c>
      <c r="E510" s="8">
        <v>46128</v>
      </c>
      <c r="F510" s="8">
        <v>46134</v>
      </c>
      <c r="G510" s="9">
        <v>7</v>
      </c>
      <c r="H510" s="10">
        <v>563</v>
      </c>
      <c r="I510" s="10">
        <v>167</v>
      </c>
      <c r="J510" s="10">
        <v>100</v>
      </c>
      <c r="K510" s="11">
        <f t="shared" si="106"/>
        <v>80.428571428571431</v>
      </c>
      <c r="L510" s="11">
        <f t="shared" si="107"/>
        <v>23.857142857142858</v>
      </c>
      <c r="M510" s="12">
        <f t="shared" si="108"/>
        <v>0.2966252220248668</v>
      </c>
      <c r="N510" s="11">
        <f t="shared" si="109"/>
        <v>14.285714285714286</v>
      </c>
      <c r="O510" s="12">
        <f t="shared" si="110"/>
        <v>0.59880239520958078</v>
      </c>
      <c r="P510" s="12">
        <f t="shared" si="111"/>
        <v>0.17761989342806395</v>
      </c>
      <c r="Q510" s="13">
        <f t="shared" ref="Q510:Q543" si="112">IFERROR((I510/H510)*K510,"")</f>
        <v>23.857142857142858</v>
      </c>
      <c r="R510" s="13">
        <f t="shared" ref="R510:R543" si="113">IFERROR((J510/H510)*K510,"")</f>
        <v>14.285714285714286</v>
      </c>
    </row>
    <row r="511" spans="1:18" ht="15.75" customHeight="1" x14ac:dyDescent="0.3">
      <c r="A511" s="7" t="s">
        <v>239</v>
      </c>
      <c r="B511" s="7" t="s">
        <v>38</v>
      </c>
      <c r="C511" s="24" t="s">
        <v>34</v>
      </c>
      <c r="D511" s="24" t="s">
        <v>39</v>
      </c>
      <c r="E511" s="8">
        <v>46128</v>
      </c>
      <c r="F511" s="8">
        <v>46134</v>
      </c>
      <c r="G511" s="9">
        <v>7</v>
      </c>
      <c r="H511" s="10">
        <v>253</v>
      </c>
      <c r="I511" s="10">
        <v>28</v>
      </c>
      <c r="J511" s="10">
        <v>21</v>
      </c>
      <c r="K511" s="11">
        <f t="shared" si="106"/>
        <v>36.142857142857146</v>
      </c>
      <c r="L511" s="11">
        <f t="shared" si="107"/>
        <v>4</v>
      </c>
      <c r="M511" s="12">
        <f t="shared" si="108"/>
        <v>0.11067193675889328</v>
      </c>
      <c r="N511" s="11">
        <f t="shared" si="109"/>
        <v>3</v>
      </c>
      <c r="O511" s="12">
        <f t="shared" si="110"/>
        <v>0.75</v>
      </c>
      <c r="P511" s="12">
        <f t="shared" si="111"/>
        <v>8.3003952569169967E-2</v>
      </c>
      <c r="Q511" s="13">
        <f t="shared" si="112"/>
        <v>4</v>
      </c>
      <c r="R511" s="13">
        <f t="shared" si="113"/>
        <v>3.0000000000000004</v>
      </c>
    </row>
    <row r="512" spans="1:18" ht="15.75" customHeight="1" x14ac:dyDescent="0.3">
      <c r="A512" s="7" t="s">
        <v>239</v>
      </c>
      <c r="B512" s="7" t="s">
        <v>117</v>
      </c>
      <c r="C512" s="24" t="s">
        <v>47</v>
      </c>
      <c r="D512" s="24" t="s">
        <v>48</v>
      </c>
      <c r="E512" s="8">
        <v>46128</v>
      </c>
      <c r="F512" s="8">
        <v>46134</v>
      </c>
      <c r="G512" s="9">
        <v>7</v>
      </c>
      <c r="H512" s="10">
        <v>1338</v>
      </c>
      <c r="I512" s="10">
        <v>422</v>
      </c>
      <c r="J512" s="10">
        <v>307</v>
      </c>
      <c r="K512" s="11">
        <f t="shared" si="106"/>
        <v>191.14285714285714</v>
      </c>
      <c r="L512" s="11">
        <f t="shared" si="107"/>
        <v>60.285714285714285</v>
      </c>
      <c r="M512" s="12">
        <f t="shared" si="108"/>
        <v>0.31539611360239161</v>
      </c>
      <c r="N512" s="11">
        <f t="shared" si="109"/>
        <v>43.857142857142854</v>
      </c>
      <c r="O512" s="12">
        <f t="shared" si="110"/>
        <v>0.72748815165876779</v>
      </c>
      <c r="P512" s="12">
        <f t="shared" si="111"/>
        <v>0.22944693572496264</v>
      </c>
      <c r="Q512" s="13">
        <f t="shared" si="112"/>
        <v>60.285714285714285</v>
      </c>
      <c r="R512" s="13">
        <f t="shared" si="113"/>
        <v>43.857142857142854</v>
      </c>
    </row>
    <row r="513" spans="1:18" ht="15.75" customHeight="1" x14ac:dyDescent="0.3">
      <c r="A513" s="7" t="s">
        <v>239</v>
      </c>
      <c r="B513" s="7" t="s">
        <v>172</v>
      </c>
      <c r="C513" s="24" t="s">
        <v>47</v>
      </c>
      <c r="D513" s="24" t="s">
        <v>48</v>
      </c>
      <c r="E513" s="8">
        <v>46128</v>
      </c>
      <c r="F513" s="8">
        <v>46134</v>
      </c>
      <c r="G513" s="9">
        <v>7</v>
      </c>
      <c r="H513" s="10">
        <v>469</v>
      </c>
      <c r="I513" s="10">
        <v>168</v>
      </c>
      <c r="J513" s="10">
        <v>129</v>
      </c>
      <c r="K513" s="11">
        <f t="shared" si="106"/>
        <v>67</v>
      </c>
      <c r="L513" s="11">
        <f t="shared" si="107"/>
        <v>24</v>
      </c>
      <c r="M513" s="12">
        <f t="shared" si="108"/>
        <v>0.35820895522388058</v>
      </c>
      <c r="N513" s="11">
        <f t="shared" si="109"/>
        <v>18.428571428571427</v>
      </c>
      <c r="O513" s="12">
        <f t="shared" si="110"/>
        <v>0.7678571428571429</v>
      </c>
      <c r="P513" s="12">
        <f t="shared" si="111"/>
        <v>0.27505330490405117</v>
      </c>
      <c r="Q513" s="13">
        <f t="shared" si="112"/>
        <v>24</v>
      </c>
      <c r="R513" s="13">
        <f t="shared" si="113"/>
        <v>18.428571428571427</v>
      </c>
    </row>
    <row r="514" spans="1:18" ht="15.75" customHeight="1" x14ac:dyDescent="0.3">
      <c r="A514" s="7" t="s">
        <v>239</v>
      </c>
      <c r="B514" s="7" t="s">
        <v>173</v>
      </c>
      <c r="C514" s="24" t="s">
        <v>47</v>
      </c>
      <c r="D514" s="24" t="s">
        <v>48</v>
      </c>
      <c r="E514" s="8">
        <v>46128</v>
      </c>
      <c r="F514" s="8">
        <v>46134</v>
      </c>
      <c r="G514" s="9">
        <v>7</v>
      </c>
      <c r="H514" s="10">
        <v>252</v>
      </c>
      <c r="I514" s="10">
        <v>107</v>
      </c>
      <c r="J514" s="10">
        <v>75</v>
      </c>
      <c r="K514" s="11">
        <f t="shared" si="106"/>
        <v>36</v>
      </c>
      <c r="L514" s="11">
        <f t="shared" si="107"/>
        <v>15.285714285714286</v>
      </c>
      <c r="M514" s="12">
        <f t="shared" si="108"/>
        <v>0.42460317460317459</v>
      </c>
      <c r="N514" s="11">
        <f t="shared" si="109"/>
        <v>10.714285714285714</v>
      </c>
      <c r="O514" s="12">
        <f t="shared" si="110"/>
        <v>0.7009345794392523</v>
      </c>
      <c r="P514" s="12">
        <f t="shared" si="111"/>
        <v>0.29761904761904762</v>
      </c>
      <c r="Q514" s="13">
        <f t="shared" si="112"/>
        <v>15.285714285714285</v>
      </c>
      <c r="R514" s="13">
        <f t="shared" si="113"/>
        <v>10.714285714285714</v>
      </c>
    </row>
    <row r="515" spans="1:18" ht="15.75" customHeight="1" x14ac:dyDescent="0.3">
      <c r="A515" s="7" t="s">
        <v>239</v>
      </c>
      <c r="B515" s="7" t="s">
        <v>118</v>
      </c>
      <c r="C515" s="24" t="s">
        <v>47</v>
      </c>
      <c r="D515" s="24" t="s">
        <v>48</v>
      </c>
      <c r="E515" s="8">
        <v>46128</v>
      </c>
      <c r="F515" s="8">
        <v>46134</v>
      </c>
      <c r="G515" s="9">
        <v>7</v>
      </c>
      <c r="H515" s="10">
        <v>56</v>
      </c>
      <c r="I515" s="10">
        <v>18</v>
      </c>
      <c r="J515" s="10">
        <v>13</v>
      </c>
      <c r="K515" s="11">
        <f t="shared" si="106"/>
        <v>8</v>
      </c>
      <c r="L515" s="11">
        <f t="shared" si="107"/>
        <v>2.5714285714285716</v>
      </c>
      <c r="M515" s="12">
        <f t="shared" si="108"/>
        <v>0.32142857142857145</v>
      </c>
      <c r="N515" s="11">
        <f t="shared" si="109"/>
        <v>1.8571428571428572</v>
      </c>
      <c r="O515" s="12">
        <f t="shared" si="110"/>
        <v>0.72222222222222221</v>
      </c>
      <c r="P515" s="12">
        <f t="shared" si="111"/>
        <v>0.23214285714285715</v>
      </c>
      <c r="Q515" s="13">
        <f t="shared" si="112"/>
        <v>2.5714285714285716</v>
      </c>
      <c r="R515" s="13">
        <f t="shared" si="113"/>
        <v>1.8571428571428572</v>
      </c>
    </row>
    <row r="516" spans="1:18" ht="15.75" customHeight="1" x14ac:dyDescent="0.3">
      <c r="A516" s="7" t="s">
        <v>239</v>
      </c>
      <c r="B516" s="7" t="s">
        <v>240</v>
      </c>
      <c r="C516" s="24" t="s">
        <v>446</v>
      </c>
      <c r="D516" s="24" t="s">
        <v>48</v>
      </c>
      <c r="E516" s="8">
        <v>46128</v>
      </c>
      <c r="F516" s="8">
        <v>46134</v>
      </c>
      <c r="G516" s="9">
        <v>7</v>
      </c>
      <c r="H516" s="10">
        <v>27</v>
      </c>
      <c r="I516" s="10">
        <v>11</v>
      </c>
      <c r="J516" s="10">
        <v>8</v>
      </c>
      <c r="K516" s="11">
        <f t="shared" si="106"/>
        <v>3.8571428571428572</v>
      </c>
      <c r="L516" s="11">
        <f t="shared" si="107"/>
        <v>1.5714285714285714</v>
      </c>
      <c r="M516" s="12">
        <f t="shared" si="108"/>
        <v>0.40740740740740738</v>
      </c>
      <c r="N516" s="11">
        <f t="shared" si="109"/>
        <v>1.1428571428571428</v>
      </c>
      <c r="O516" s="12">
        <f t="shared" si="110"/>
        <v>0.72727272727272729</v>
      </c>
      <c r="P516" s="12">
        <f t="shared" si="111"/>
        <v>0.29629629629629628</v>
      </c>
      <c r="Q516" s="13">
        <f t="shared" si="112"/>
        <v>1.5714285714285714</v>
      </c>
      <c r="R516" s="13">
        <f t="shared" si="113"/>
        <v>1.1428571428571428</v>
      </c>
    </row>
    <row r="517" spans="1:18" ht="15.75" customHeight="1" x14ac:dyDescent="0.3">
      <c r="A517" s="7" t="s">
        <v>239</v>
      </c>
      <c r="B517" s="7" t="s">
        <v>188</v>
      </c>
      <c r="C517" s="24" t="s">
        <v>34</v>
      </c>
      <c r="D517" s="24" t="s">
        <v>53</v>
      </c>
      <c r="E517" s="8">
        <v>46128</v>
      </c>
      <c r="F517" s="8">
        <v>46134</v>
      </c>
      <c r="G517" s="9">
        <v>7</v>
      </c>
      <c r="H517" s="10">
        <v>160</v>
      </c>
      <c r="I517" s="10">
        <v>52</v>
      </c>
      <c r="J517" s="10">
        <v>37</v>
      </c>
      <c r="K517" s="11">
        <f t="shared" si="106"/>
        <v>22.857142857142858</v>
      </c>
      <c r="L517" s="11">
        <f t="shared" si="107"/>
        <v>7.4285714285714288</v>
      </c>
      <c r="M517" s="12">
        <f t="shared" si="108"/>
        <v>0.32500000000000001</v>
      </c>
      <c r="N517" s="11">
        <f t="shared" si="109"/>
        <v>5.2857142857142856</v>
      </c>
      <c r="O517" s="12">
        <f t="shared" si="110"/>
        <v>0.71153846153846156</v>
      </c>
      <c r="P517" s="12">
        <f t="shared" si="111"/>
        <v>0.23125000000000001</v>
      </c>
      <c r="Q517" s="13">
        <f t="shared" si="112"/>
        <v>7.4285714285714288</v>
      </c>
      <c r="R517" s="13">
        <f t="shared" si="113"/>
        <v>5.2857142857142865</v>
      </c>
    </row>
    <row r="518" spans="1:18" ht="15.75" customHeight="1" x14ac:dyDescent="0.3">
      <c r="A518" s="7" t="s">
        <v>239</v>
      </c>
      <c r="B518" s="7" t="s">
        <v>176</v>
      </c>
      <c r="C518" s="24" t="s">
        <v>58</v>
      </c>
      <c r="D518" s="24" t="s">
        <v>61</v>
      </c>
      <c r="E518" s="8">
        <v>46128</v>
      </c>
      <c r="F518" s="8">
        <v>46134</v>
      </c>
      <c r="G518" s="9">
        <v>7</v>
      </c>
      <c r="H518" s="10">
        <v>616</v>
      </c>
      <c r="I518" s="10">
        <v>214</v>
      </c>
      <c r="J518" s="10">
        <v>159</v>
      </c>
      <c r="K518" s="11">
        <f t="shared" si="106"/>
        <v>88</v>
      </c>
      <c r="L518" s="11">
        <f t="shared" si="107"/>
        <v>30.571428571428573</v>
      </c>
      <c r="M518" s="12">
        <f t="shared" si="108"/>
        <v>0.34740259740259738</v>
      </c>
      <c r="N518" s="11">
        <f t="shared" si="109"/>
        <v>22.714285714285715</v>
      </c>
      <c r="O518" s="12">
        <f t="shared" si="110"/>
        <v>0.7429906542056075</v>
      </c>
      <c r="P518" s="12">
        <f t="shared" si="111"/>
        <v>0.25811688311688313</v>
      </c>
      <c r="Q518" s="13">
        <f t="shared" si="112"/>
        <v>30.571428571428569</v>
      </c>
      <c r="R518" s="13">
        <f t="shared" si="113"/>
        <v>22.714285714285715</v>
      </c>
    </row>
    <row r="519" spans="1:18" ht="15.75" customHeight="1" x14ac:dyDescent="0.3">
      <c r="A519" s="7" t="s">
        <v>239</v>
      </c>
      <c r="B519" s="7" t="s">
        <v>177</v>
      </c>
      <c r="C519" s="24" t="s">
        <v>58</v>
      </c>
      <c r="D519" s="24" t="s">
        <v>61</v>
      </c>
      <c r="E519" s="8">
        <v>46128</v>
      </c>
      <c r="F519" s="8">
        <v>46134</v>
      </c>
      <c r="G519" s="9">
        <v>7</v>
      </c>
      <c r="H519" s="10">
        <v>2</v>
      </c>
      <c r="I519" s="10">
        <v>0</v>
      </c>
      <c r="J519" s="10">
        <v>0</v>
      </c>
      <c r="K519" s="11">
        <f t="shared" si="106"/>
        <v>0.2857142857142857</v>
      </c>
      <c r="L519" s="11">
        <f t="shared" si="107"/>
        <v>0</v>
      </c>
      <c r="M519" s="12">
        <f t="shared" si="108"/>
        <v>0</v>
      </c>
      <c r="N519" s="11">
        <f t="shared" si="109"/>
        <v>0</v>
      </c>
      <c r="O519" s="12" t="str">
        <f t="shared" si="110"/>
        <v/>
      </c>
      <c r="P519" s="12">
        <f t="shared" si="111"/>
        <v>0</v>
      </c>
      <c r="Q519" s="13">
        <f t="shared" si="112"/>
        <v>0</v>
      </c>
      <c r="R519" s="13">
        <f t="shared" si="113"/>
        <v>0</v>
      </c>
    </row>
    <row r="520" spans="1:18" ht="15.75" customHeight="1" x14ac:dyDescent="0.3">
      <c r="A520" s="7" t="s">
        <v>239</v>
      </c>
      <c r="B520" s="7" t="s">
        <v>108</v>
      </c>
      <c r="C520" s="24" t="s">
        <v>58</v>
      </c>
      <c r="D520" s="24" t="s">
        <v>66</v>
      </c>
      <c r="E520" s="8">
        <v>46128</v>
      </c>
      <c r="F520" s="8">
        <v>46134</v>
      </c>
      <c r="G520" s="9">
        <v>7</v>
      </c>
      <c r="H520" s="10">
        <v>549</v>
      </c>
      <c r="I520" s="10">
        <v>148</v>
      </c>
      <c r="J520" s="10">
        <v>86</v>
      </c>
      <c r="K520" s="11">
        <f t="shared" si="106"/>
        <v>78.428571428571431</v>
      </c>
      <c r="L520" s="11">
        <f t="shared" si="107"/>
        <v>21.142857142857142</v>
      </c>
      <c r="M520" s="12">
        <f t="shared" si="108"/>
        <v>0.26958105646630237</v>
      </c>
      <c r="N520" s="11">
        <f t="shared" si="109"/>
        <v>12.285714285714286</v>
      </c>
      <c r="O520" s="12">
        <f t="shared" si="110"/>
        <v>0.58108108108108103</v>
      </c>
      <c r="P520" s="12">
        <f t="shared" si="111"/>
        <v>0.15664845173041894</v>
      </c>
      <c r="Q520" s="13">
        <f t="shared" si="112"/>
        <v>21.142857142857142</v>
      </c>
      <c r="R520" s="13">
        <f t="shared" si="113"/>
        <v>12.285714285714286</v>
      </c>
    </row>
    <row r="521" spans="1:18" ht="15.75" customHeight="1" x14ac:dyDescent="0.3">
      <c r="A521" s="7" t="s">
        <v>239</v>
      </c>
      <c r="B521" s="7" t="s">
        <v>109</v>
      </c>
      <c r="C521" s="24" t="s">
        <v>58</v>
      </c>
      <c r="D521" s="24" t="s">
        <v>68</v>
      </c>
      <c r="E521" s="8">
        <v>46128</v>
      </c>
      <c r="F521" s="8">
        <v>46134</v>
      </c>
      <c r="G521" s="9">
        <v>7</v>
      </c>
      <c r="H521" s="10">
        <v>75</v>
      </c>
      <c r="I521" s="10">
        <v>34</v>
      </c>
      <c r="J521" s="10">
        <v>20</v>
      </c>
      <c r="K521" s="11">
        <f t="shared" si="106"/>
        <v>10.714285714285714</v>
      </c>
      <c r="L521" s="11">
        <f t="shared" si="107"/>
        <v>4.8571428571428568</v>
      </c>
      <c r="M521" s="12">
        <f t="shared" si="108"/>
        <v>0.45333333333333331</v>
      </c>
      <c r="N521" s="11">
        <f t="shared" si="109"/>
        <v>2.8571428571428572</v>
      </c>
      <c r="O521" s="12">
        <f t="shared" si="110"/>
        <v>0.58823529411764708</v>
      </c>
      <c r="P521" s="12">
        <f t="shared" si="111"/>
        <v>0.26666666666666666</v>
      </c>
      <c r="Q521" s="13">
        <f t="shared" si="112"/>
        <v>4.8571428571428568</v>
      </c>
      <c r="R521" s="13">
        <f t="shared" si="113"/>
        <v>2.8571428571428568</v>
      </c>
    </row>
    <row r="522" spans="1:18" ht="15.75" customHeight="1" x14ac:dyDescent="0.3">
      <c r="A522" s="7" t="s">
        <v>239</v>
      </c>
      <c r="B522" s="7" t="s">
        <v>114</v>
      </c>
      <c r="C522" s="24" t="s">
        <v>58</v>
      </c>
      <c r="D522" s="24" t="s">
        <v>74</v>
      </c>
      <c r="E522" s="8">
        <v>46128</v>
      </c>
      <c r="F522" s="8">
        <v>46134</v>
      </c>
      <c r="G522" s="9">
        <v>7</v>
      </c>
      <c r="H522" s="10">
        <v>72</v>
      </c>
      <c r="I522" s="10">
        <v>30</v>
      </c>
      <c r="J522" s="10">
        <v>18</v>
      </c>
      <c r="K522" s="11">
        <f t="shared" si="106"/>
        <v>10.285714285714286</v>
      </c>
      <c r="L522" s="11">
        <f t="shared" si="107"/>
        <v>4.2857142857142856</v>
      </c>
      <c r="M522" s="12">
        <f t="shared" si="108"/>
        <v>0.41666666666666669</v>
      </c>
      <c r="N522" s="11">
        <f t="shared" si="109"/>
        <v>2.5714285714285716</v>
      </c>
      <c r="O522" s="12">
        <f t="shared" si="110"/>
        <v>0.6</v>
      </c>
      <c r="P522" s="12">
        <f t="shared" si="111"/>
        <v>0.25</v>
      </c>
      <c r="Q522" s="13">
        <f t="shared" si="112"/>
        <v>4.2857142857142865</v>
      </c>
      <c r="R522" s="13">
        <f t="shared" si="113"/>
        <v>2.5714285714285716</v>
      </c>
    </row>
    <row r="523" spans="1:18" ht="15.75" customHeight="1" x14ac:dyDescent="0.3">
      <c r="A523" s="7" t="s">
        <v>239</v>
      </c>
      <c r="B523" s="7" t="s">
        <v>180</v>
      </c>
      <c r="C523" s="24" t="s">
        <v>58</v>
      </c>
      <c r="D523" s="24" t="s">
        <v>59</v>
      </c>
      <c r="E523" s="8">
        <v>46128</v>
      </c>
      <c r="F523" s="8">
        <v>46134</v>
      </c>
      <c r="G523" s="9">
        <v>7</v>
      </c>
      <c r="H523" s="10">
        <v>82</v>
      </c>
      <c r="I523" s="10">
        <v>25</v>
      </c>
      <c r="J523" s="10">
        <v>19</v>
      </c>
      <c r="K523" s="11">
        <f t="shared" si="106"/>
        <v>11.714285714285714</v>
      </c>
      <c r="L523" s="11">
        <f t="shared" si="107"/>
        <v>3.5714285714285716</v>
      </c>
      <c r="M523" s="12">
        <f t="shared" si="108"/>
        <v>0.3048780487804878</v>
      </c>
      <c r="N523" s="11">
        <f t="shared" si="109"/>
        <v>2.7142857142857144</v>
      </c>
      <c r="O523" s="12">
        <f t="shared" si="110"/>
        <v>0.76</v>
      </c>
      <c r="P523" s="12">
        <f t="shared" si="111"/>
        <v>0.23170731707317074</v>
      </c>
      <c r="Q523" s="13">
        <f t="shared" si="112"/>
        <v>3.5714285714285712</v>
      </c>
      <c r="R523" s="13">
        <f t="shared" si="113"/>
        <v>2.7142857142857144</v>
      </c>
    </row>
    <row r="524" spans="1:18" ht="15.75" customHeight="1" x14ac:dyDescent="0.3">
      <c r="A524" s="7" t="s">
        <v>239</v>
      </c>
      <c r="B524" s="7" t="s">
        <v>78</v>
      </c>
      <c r="C524" s="24" t="s">
        <v>34</v>
      </c>
      <c r="D524" s="24" t="s">
        <v>35</v>
      </c>
      <c r="E524" s="8">
        <v>46128</v>
      </c>
      <c r="F524" s="8">
        <v>46134</v>
      </c>
      <c r="G524" s="9">
        <v>7</v>
      </c>
      <c r="H524" s="10">
        <v>253</v>
      </c>
      <c r="I524" s="10">
        <v>111</v>
      </c>
      <c r="J524" s="10">
        <v>73</v>
      </c>
      <c r="K524" s="11">
        <f t="shared" si="106"/>
        <v>36.142857142857146</v>
      </c>
      <c r="L524" s="11">
        <f t="shared" si="107"/>
        <v>15.857142857142858</v>
      </c>
      <c r="M524" s="12">
        <f t="shared" si="108"/>
        <v>0.43873517786561267</v>
      </c>
      <c r="N524" s="11">
        <f t="shared" si="109"/>
        <v>10.428571428571429</v>
      </c>
      <c r="O524" s="12">
        <f t="shared" si="110"/>
        <v>0.65765765765765771</v>
      </c>
      <c r="P524" s="12">
        <f t="shared" si="111"/>
        <v>0.28853754940711462</v>
      </c>
      <c r="Q524" s="13">
        <f t="shared" si="112"/>
        <v>15.857142857142859</v>
      </c>
      <c r="R524" s="13">
        <f t="shared" si="113"/>
        <v>10.428571428571429</v>
      </c>
    </row>
    <row r="525" spans="1:18" ht="15.75" customHeight="1" x14ac:dyDescent="0.3">
      <c r="A525" s="7" t="s">
        <v>239</v>
      </c>
      <c r="B525" s="7" t="s">
        <v>81</v>
      </c>
      <c r="C525" s="24" t="s">
        <v>34</v>
      </c>
      <c r="D525" s="24" t="s">
        <v>35</v>
      </c>
      <c r="E525" s="8">
        <v>46128</v>
      </c>
      <c r="F525" s="8">
        <v>46134</v>
      </c>
      <c r="G525" s="9">
        <v>7</v>
      </c>
      <c r="H525" s="10">
        <v>435</v>
      </c>
      <c r="I525" s="10">
        <v>114</v>
      </c>
      <c r="J525" s="10">
        <v>71</v>
      </c>
      <c r="K525" s="11">
        <f t="shared" si="106"/>
        <v>62.142857142857146</v>
      </c>
      <c r="L525" s="11">
        <f t="shared" si="107"/>
        <v>16.285714285714285</v>
      </c>
      <c r="M525" s="12">
        <f t="shared" si="108"/>
        <v>0.2620689655172414</v>
      </c>
      <c r="N525" s="11">
        <f t="shared" si="109"/>
        <v>10.142857142857142</v>
      </c>
      <c r="O525" s="12">
        <f t="shared" si="110"/>
        <v>0.6228070175438597</v>
      </c>
      <c r="P525" s="12">
        <f t="shared" si="111"/>
        <v>0.16321839080459771</v>
      </c>
      <c r="Q525" s="13">
        <f t="shared" si="112"/>
        <v>16.285714285714288</v>
      </c>
      <c r="R525" s="13">
        <f t="shared" si="113"/>
        <v>10.142857142857144</v>
      </c>
    </row>
    <row r="526" spans="1:18" ht="15.75" customHeight="1" x14ac:dyDescent="0.3">
      <c r="A526" s="7" t="s">
        <v>239</v>
      </c>
      <c r="B526" s="7" t="s">
        <v>218</v>
      </c>
      <c r="C526" s="24" t="s">
        <v>34</v>
      </c>
      <c r="D526" s="24" t="s">
        <v>91</v>
      </c>
      <c r="E526" s="8">
        <v>46128</v>
      </c>
      <c r="F526" s="8">
        <v>46134</v>
      </c>
      <c r="G526" s="9">
        <v>7</v>
      </c>
      <c r="H526" s="10">
        <v>45</v>
      </c>
      <c r="I526" s="10">
        <v>10</v>
      </c>
      <c r="J526" s="10">
        <v>6</v>
      </c>
      <c r="K526" s="11">
        <f t="shared" si="106"/>
        <v>6.4285714285714288</v>
      </c>
      <c r="L526" s="11">
        <f t="shared" si="107"/>
        <v>1.4285714285714286</v>
      </c>
      <c r="M526" s="12">
        <f t="shared" si="108"/>
        <v>0.22222222222222221</v>
      </c>
      <c r="N526" s="11">
        <f t="shared" si="109"/>
        <v>0.8571428571428571</v>
      </c>
      <c r="O526" s="12">
        <f t="shared" si="110"/>
        <v>0.6</v>
      </c>
      <c r="P526" s="12">
        <f t="shared" si="111"/>
        <v>0.13333333333333333</v>
      </c>
      <c r="Q526" s="13">
        <f t="shared" si="112"/>
        <v>1.4285714285714286</v>
      </c>
      <c r="R526" s="13">
        <f t="shared" si="113"/>
        <v>0.85714285714285721</v>
      </c>
    </row>
    <row r="527" spans="1:18" ht="15.75" customHeight="1" x14ac:dyDescent="0.3">
      <c r="A527" s="7" t="s">
        <v>239</v>
      </c>
      <c r="B527" s="7" t="s">
        <v>41</v>
      </c>
      <c r="C527" s="24" t="s">
        <v>34</v>
      </c>
      <c r="D527" s="24" t="s">
        <v>39</v>
      </c>
      <c r="E527" s="8">
        <v>46128</v>
      </c>
      <c r="F527" s="8">
        <v>46134</v>
      </c>
      <c r="G527" s="9">
        <v>7</v>
      </c>
      <c r="H527" s="10">
        <v>72</v>
      </c>
      <c r="I527" s="10">
        <v>10</v>
      </c>
      <c r="J527" s="10">
        <v>6</v>
      </c>
      <c r="K527" s="11">
        <f t="shared" si="106"/>
        <v>10.285714285714286</v>
      </c>
      <c r="L527" s="11">
        <f t="shared" si="107"/>
        <v>1.4285714285714286</v>
      </c>
      <c r="M527" s="12">
        <f t="shared" si="108"/>
        <v>0.1388888888888889</v>
      </c>
      <c r="N527" s="11">
        <f t="shared" si="109"/>
        <v>0.8571428571428571</v>
      </c>
      <c r="O527" s="12">
        <f t="shared" si="110"/>
        <v>0.6</v>
      </c>
      <c r="P527" s="12">
        <f t="shared" si="111"/>
        <v>8.3333333333333329E-2</v>
      </c>
      <c r="Q527" s="13">
        <f t="shared" si="112"/>
        <v>1.4285714285714288</v>
      </c>
      <c r="R527" s="13">
        <f t="shared" si="113"/>
        <v>0.85714285714285721</v>
      </c>
    </row>
    <row r="528" spans="1:18" ht="15.75" customHeight="1" x14ac:dyDescent="0.3">
      <c r="A528" s="7" t="s">
        <v>239</v>
      </c>
      <c r="B528" s="7" t="s">
        <v>43</v>
      </c>
      <c r="C528" s="24" t="s">
        <v>34</v>
      </c>
      <c r="D528" s="24" t="s">
        <v>44</v>
      </c>
      <c r="E528" s="8">
        <v>46128</v>
      </c>
      <c r="F528" s="8">
        <v>46134</v>
      </c>
      <c r="G528" s="9">
        <v>7</v>
      </c>
      <c r="H528" s="10">
        <v>234</v>
      </c>
      <c r="I528" s="10">
        <v>29</v>
      </c>
      <c r="J528" s="10">
        <v>21</v>
      </c>
      <c r="K528" s="11">
        <f t="shared" si="106"/>
        <v>33.428571428571431</v>
      </c>
      <c r="L528" s="11">
        <f t="shared" si="107"/>
        <v>4.1428571428571432</v>
      </c>
      <c r="M528" s="12">
        <f t="shared" si="108"/>
        <v>0.12393162393162394</v>
      </c>
      <c r="N528" s="11">
        <f t="shared" si="109"/>
        <v>3</v>
      </c>
      <c r="O528" s="12">
        <f t="shared" si="110"/>
        <v>0.72413793103448276</v>
      </c>
      <c r="P528" s="12">
        <f t="shared" si="111"/>
        <v>8.9743589743589744E-2</v>
      </c>
      <c r="Q528" s="13">
        <f t="shared" si="112"/>
        <v>4.1428571428571432</v>
      </c>
      <c r="R528" s="13">
        <f t="shared" si="113"/>
        <v>3</v>
      </c>
    </row>
    <row r="529" spans="1:18" ht="15.75" customHeight="1" x14ac:dyDescent="0.3">
      <c r="A529" s="7" t="s">
        <v>239</v>
      </c>
      <c r="B529" s="7" t="s">
        <v>45</v>
      </c>
      <c r="C529" s="24" t="s">
        <v>34</v>
      </c>
      <c r="D529" s="24" t="s">
        <v>44</v>
      </c>
      <c r="E529" s="8">
        <v>46128</v>
      </c>
      <c r="F529" s="8">
        <v>46134</v>
      </c>
      <c r="G529" s="9">
        <v>7</v>
      </c>
      <c r="H529" s="10">
        <v>466</v>
      </c>
      <c r="I529" s="10">
        <v>47</v>
      </c>
      <c r="J529" s="10">
        <v>34</v>
      </c>
      <c r="K529" s="11">
        <f t="shared" si="106"/>
        <v>66.571428571428569</v>
      </c>
      <c r="L529" s="11">
        <f t="shared" si="107"/>
        <v>6.7142857142857144</v>
      </c>
      <c r="M529" s="12">
        <f t="shared" si="108"/>
        <v>0.10085836909871244</v>
      </c>
      <c r="N529" s="11">
        <f t="shared" si="109"/>
        <v>4.8571428571428568</v>
      </c>
      <c r="O529" s="12">
        <f t="shared" si="110"/>
        <v>0.72340425531914898</v>
      </c>
      <c r="P529" s="12">
        <f t="shared" si="111"/>
        <v>7.2961373390557943E-2</v>
      </c>
      <c r="Q529" s="13">
        <f t="shared" si="112"/>
        <v>6.7142857142857135</v>
      </c>
      <c r="R529" s="13">
        <f t="shared" si="113"/>
        <v>4.8571428571428577</v>
      </c>
    </row>
    <row r="530" spans="1:18" ht="15.75" customHeight="1" x14ac:dyDescent="0.3">
      <c r="A530" s="7" t="s">
        <v>239</v>
      </c>
      <c r="B530" s="7" t="s">
        <v>220</v>
      </c>
      <c r="C530" s="24" t="s">
        <v>34</v>
      </c>
      <c r="D530" s="24" t="s">
        <v>44</v>
      </c>
      <c r="E530" s="8">
        <v>46128</v>
      </c>
      <c r="F530" s="8">
        <v>46134</v>
      </c>
      <c r="G530" s="9">
        <v>7</v>
      </c>
      <c r="H530" s="10">
        <v>103</v>
      </c>
      <c r="I530" s="10">
        <v>21</v>
      </c>
      <c r="J530" s="10">
        <v>16</v>
      </c>
      <c r="K530" s="11">
        <f t="shared" si="106"/>
        <v>14.714285714285714</v>
      </c>
      <c r="L530" s="11">
        <f t="shared" si="107"/>
        <v>3</v>
      </c>
      <c r="M530" s="12">
        <f t="shared" si="108"/>
        <v>0.20388349514563106</v>
      </c>
      <c r="N530" s="11">
        <f t="shared" si="109"/>
        <v>2.2857142857142856</v>
      </c>
      <c r="O530" s="12">
        <f t="shared" si="110"/>
        <v>0.76190476190476186</v>
      </c>
      <c r="P530" s="12">
        <f t="shared" si="111"/>
        <v>0.1553398058252427</v>
      </c>
      <c r="Q530" s="13">
        <f t="shared" si="112"/>
        <v>2.9999999999999996</v>
      </c>
      <c r="R530" s="13">
        <f t="shared" si="113"/>
        <v>2.2857142857142856</v>
      </c>
    </row>
    <row r="531" spans="1:18" ht="15.75" customHeight="1" x14ac:dyDescent="0.3">
      <c r="A531" s="7" t="s">
        <v>239</v>
      </c>
      <c r="B531" s="7" t="s">
        <v>93</v>
      </c>
      <c r="C531" s="24" t="s">
        <v>47</v>
      </c>
      <c r="D531" s="24" t="s">
        <v>48</v>
      </c>
      <c r="E531" s="8">
        <v>46128</v>
      </c>
      <c r="F531" s="8">
        <v>46134</v>
      </c>
      <c r="G531" s="9">
        <v>7</v>
      </c>
      <c r="H531" s="10">
        <v>176</v>
      </c>
      <c r="I531" s="10">
        <v>57</v>
      </c>
      <c r="J531" s="10">
        <v>46</v>
      </c>
      <c r="K531" s="11">
        <f t="shared" si="106"/>
        <v>25.142857142857142</v>
      </c>
      <c r="L531" s="11">
        <f t="shared" si="107"/>
        <v>8.1428571428571423</v>
      </c>
      <c r="M531" s="12">
        <f t="shared" si="108"/>
        <v>0.32386363636363635</v>
      </c>
      <c r="N531" s="11">
        <f t="shared" si="109"/>
        <v>6.5714285714285712</v>
      </c>
      <c r="O531" s="12">
        <f t="shared" si="110"/>
        <v>0.80701754385964908</v>
      </c>
      <c r="P531" s="12">
        <f t="shared" si="111"/>
        <v>0.26136363636363635</v>
      </c>
      <c r="Q531" s="13">
        <f t="shared" si="112"/>
        <v>8.1428571428571423</v>
      </c>
      <c r="R531" s="13">
        <f t="shared" si="113"/>
        <v>6.5714285714285712</v>
      </c>
    </row>
    <row r="532" spans="1:18" ht="15.75" customHeight="1" x14ac:dyDescent="0.3">
      <c r="A532" s="7" t="s">
        <v>239</v>
      </c>
      <c r="B532" s="7" t="s">
        <v>94</v>
      </c>
      <c r="C532" s="24" t="s">
        <v>47</v>
      </c>
      <c r="D532" s="24" t="s">
        <v>48</v>
      </c>
      <c r="E532" s="8">
        <v>46128</v>
      </c>
      <c r="F532" s="8">
        <v>46134</v>
      </c>
      <c r="G532" s="9">
        <v>7</v>
      </c>
      <c r="H532" s="10">
        <v>1</v>
      </c>
      <c r="I532" s="10">
        <v>0</v>
      </c>
      <c r="J532" s="10">
        <v>0</v>
      </c>
      <c r="K532" s="11">
        <f t="shared" si="106"/>
        <v>0.14285714285714285</v>
      </c>
      <c r="L532" s="11">
        <f t="shared" si="107"/>
        <v>0</v>
      </c>
      <c r="M532" s="12">
        <f t="shared" si="108"/>
        <v>0</v>
      </c>
      <c r="N532" s="11">
        <f t="shared" si="109"/>
        <v>0</v>
      </c>
      <c r="O532" s="12" t="str">
        <f t="shared" si="110"/>
        <v/>
      </c>
      <c r="P532" s="12">
        <f t="shared" si="111"/>
        <v>0</v>
      </c>
      <c r="Q532" s="13">
        <f t="shared" si="112"/>
        <v>0</v>
      </c>
      <c r="R532" s="13">
        <f t="shared" si="113"/>
        <v>0</v>
      </c>
    </row>
    <row r="533" spans="1:18" ht="15.75" customHeight="1" x14ac:dyDescent="0.3">
      <c r="A533" s="7" t="s">
        <v>239</v>
      </c>
      <c r="B533" s="7" t="s">
        <v>97</v>
      </c>
      <c r="C533" s="24" t="s">
        <v>47</v>
      </c>
      <c r="D533" s="24" t="s">
        <v>53</v>
      </c>
      <c r="E533" s="8">
        <v>46128</v>
      </c>
      <c r="F533" s="8">
        <v>46134</v>
      </c>
      <c r="G533" s="9">
        <v>7</v>
      </c>
      <c r="H533" s="10">
        <v>73</v>
      </c>
      <c r="I533" s="10">
        <v>24</v>
      </c>
      <c r="J533" s="10">
        <v>20</v>
      </c>
      <c r="K533" s="11">
        <f t="shared" si="106"/>
        <v>10.428571428571429</v>
      </c>
      <c r="L533" s="11">
        <f t="shared" si="107"/>
        <v>3.4285714285714284</v>
      </c>
      <c r="M533" s="12">
        <f t="shared" si="108"/>
        <v>0.32876712328767121</v>
      </c>
      <c r="N533" s="11">
        <f t="shared" si="109"/>
        <v>2.8571428571428572</v>
      </c>
      <c r="O533" s="12">
        <f t="shared" si="110"/>
        <v>0.83333333333333337</v>
      </c>
      <c r="P533" s="12">
        <f t="shared" si="111"/>
        <v>0.27397260273972601</v>
      </c>
      <c r="Q533" s="13">
        <f t="shared" si="112"/>
        <v>3.4285714285714284</v>
      </c>
      <c r="R533" s="13">
        <f t="shared" si="113"/>
        <v>2.8571428571428572</v>
      </c>
    </row>
    <row r="534" spans="1:18" ht="15.75" customHeight="1" x14ac:dyDescent="0.3">
      <c r="A534" s="7" t="s">
        <v>239</v>
      </c>
      <c r="B534" s="7" t="s">
        <v>99</v>
      </c>
      <c r="C534" s="24" t="s">
        <v>47</v>
      </c>
      <c r="D534" s="24" t="s">
        <v>56</v>
      </c>
      <c r="E534" s="8">
        <v>46128</v>
      </c>
      <c r="F534" s="8">
        <v>46134</v>
      </c>
      <c r="G534" s="9">
        <v>7</v>
      </c>
      <c r="H534" s="10">
        <v>135</v>
      </c>
      <c r="I534" s="10">
        <v>57</v>
      </c>
      <c r="J534" s="10">
        <v>50</v>
      </c>
      <c r="K534" s="11">
        <f t="shared" si="106"/>
        <v>19.285714285714285</v>
      </c>
      <c r="L534" s="11">
        <f t="shared" si="107"/>
        <v>8.1428571428571423</v>
      </c>
      <c r="M534" s="12">
        <f t="shared" si="108"/>
        <v>0.42222222222222222</v>
      </c>
      <c r="N534" s="11">
        <f t="shared" si="109"/>
        <v>7.1428571428571432</v>
      </c>
      <c r="O534" s="12">
        <f t="shared" si="110"/>
        <v>0.8771929824561403</v>
      </c>
      <c r="P534" s="12">
        <f t="shared" si="111"/>
        <v>0.37037037037037035</v>
      </c>
      <c r="Q534" s="13">
        <f t="shared" si="112"/>
        <v>8.1428571428571423</v>
      </c>
      <c r="R534" s="13">
        <f t="shared" si="113"/>
        <v>7.1428571428571423</v>
      </c>
    </row>
    <row r="535" spans="1:18" ht="15.75" customHeight="1" x14ac:dyDescent="0.3">
      <c r="A535" s="7" t="s">
        <v>239</v>
      </c>
      <c r="B535" s="7" t="s">
        <v>100</v>
      </c>
      <c r="C535" s="24" t="s">
        <v>47</v>
      </c>
      <c r="D535" s="24" t="s">
        <v>56</v>
      </c>
      <c r="E535" s="8">
        <v>46128</v>
      </c>
      <c r="F535" s="8">
        <v>46134</v>
      </c>
      <c r="G535" s="9">
        <v>7</v>
      </c>
      <c r="H535" s="10">
        <v>1</v>
      </c>
      <c r="I535" s="10">
        <v>0</v>
      </c>
      <c r="J535" s="10">
        <v>0</v>
      </c>
      <c r="K535" s="11">
        <f t="shared" si="106"/>
        <v>0.14285714285714285</v>
      </c>
      <c r="L535" s="11">
        <f t="shared" si="107"/>
        <v>0</v>
      </c>
      <c r="M535" s="12">
        <f t="shared" si="108"/>
        <v>0</v>
      </c>
      <c r="N535" s="11">
        <f t="shared" si="109"/>
        <v>0</v>
      </c>
      <c r="O535" s="12" t="str">
        <f t="shared" si="110"/>
        <v/>
      </c>
      <c r="P535" s="12">
        <f t="shared" si="111"/>
        <v>0</v>
      </c>
      <c r="Q535" s="13">
        <f t="shared" si="112"/>
        <v>0</v>
      </c>
      <c r="R535" s="13">
        <f t="shared" si="113"/>
        <v>0</v>
      </c>
    </row>
    <row r="536" spans="1:18" ht="15.75" customHeight="1" x14ac:dyDescent="0.3">
      <c r="A536" s="7" t="s">
        <v>239</v>
      </c>
      <c r="B536" s="7" t="s">
        <v>221</v>
      </c>
      <c r="C536" s="24" t="s">
        <v>58</v>
      </c>
      <c r="D536" s="24" t="s">
        <v>61</v>
      </c>
      <c r="E536" s="8">
        <v>46128</v>
      </c>
      <c r="F536" s="8">
        <v>46134</v>
      </c>
      <c r="G536" s="9">
        <v>7</v>
      </c>
      <c r="H536" s="10">
        <v>92</v>
      </c>
      <c r="I536" s="10">
        <v>31</v>
      </c>
      <c r="J536" s="10">
        <v>22</v>
      </c>
      <c r="K536" s="11">
        <f t="shared" si="106"/>
        <v>13.142857142857142</v>
      </c>
      <c r="L536" s="11">
        <f t="shared" si="107"/>
        <v>4.4285714285714288</v>
      </c>
      <c r="M536" s="12">
        <f t="shared" si="108"/>
        <v>0.33695652173913043</v>
      </c>
      <c r="N536" s="11">
        <f t="shared" si="109"/>
        <v>3.1428571428571428</v>
      </c>
      <c r="O536" s="12">
        <f t="shared" si="110"/>
        <v>0.70967741935483875</v>
      </c>
      <c r="P536" s="12">
        <f t="shared" si="111"/>
        <v>0.2391304347826087</v>
      </c>
      <c r="Q536" s="13">
        <f t="shared" si="112"/>
        <v>4.4285714285714279</v>
      </c>
      <c r="R536" s="13">
        <f t="shared" si="113"/>
        <v>3.1428571428571428</v>
      </c>
    </row>
    <row r="537" spans="1:18" ht="15.75" customHeight="1" x14ac:dyDescent="0.3">
      <c r="A537" s="7" t="s">
        <v>239</v>
      </c>
      <c r="B537" s="7" t="s">
        <v>222</v>
      </c>
      <c r="C537" s="24" t="s">
        <v>58</v>
      </c>
      <c r="D537" s="24" t="s">
        <v>124</v>
      </c>
      <c r="E537" s="8">
        <v>46128</v>
      </c>
      <c r="F537" s="8">
        <v>46134</v>
      </c>
      <c r="G537" s="9">
        <v>7</v>
      </c>
      <c r="H537" s="10">
        <v>27</v>
      </c>
      <c r="I537" s="10">
        <v>8</v>
      </c>
      <c r="J537" s="10">
        <v>5</v>
      </c>
      <c r="K537" s="11">
        <f t="shared" si="106"/>
        <v>3.8571428571428572</v>
      </c>
      <c r="L537" s="11">
        <f t="shared" si="107"/>
        <v>1.1428571428571428</v>
      </c>
      <c r="M537" s="12">
        <f t="shared" si="108"/>
        <v>0.29629629629629628</v>
      </c>
      <c r="N537" s="11">
        <f t="shared" si="109"/>
        <v>0.7142857142857143</v>
      </c>
      <c r="O537" s="12">
        <f t="shared" si="110"/>
        <v>0.625</v>
      </c>
      <c r="P537" s="12">
        <f t="shared" si="111"/>
        <v>0.18518518518518517</v>
      </c>
      <c r="Q537" s="13">
        <f t="shared" si="112"/>
        <v>1.1428571428571428</v>
      </c>
      <c r="R537" s="13">
        <f t="shared" si="113"/>
        <v>0.7142857142857143</v>
      </c>
    </row>
    <row r="538" spans="1:18" ht="15.75" customHeight="1" x14ac:dyDescent="0.3">
      <c r="A538" s="7" t="s">
        <v>239</v>
      </c>
      <c r="B538" s="7" t="s">
        <v>125</v>
      </c>
      <c r="C538" s="24" t="s">
        <v>58</v>
      </c>
      <c r="D538" s="24" t="s">
        <v>103</v>
      </c>
      <c r="E538" s="8">
        <v>46128</v>
      </c>
      <c r="F538" s="8">
        <v>46134</v>
      </c>
      <c r="G538" s="9">
        <v>7</v>
      </c>
      <c r="H538" s="10">
        <v>113</v>
      </c>
      <c r="I538" s="10">
        <v>33</v>
      </c>
      <c r="J538" s="10">
        <v>27</v>
      </c>
      <c r="K538" s="11">
        <f t="shared" si="106"/>
        <v>16.142857142857142</v>
      </c>
      <c r="L538" s="11">
        <f t="shared" si="107"/>
        <v>4.7142857142857144</v>
      </c>
      <c r="M538" s="12">
        <f t="shared" si="108"/>
        <v>0.29203539823008851</v>
      </c>
      <c r="N538" s="11">
        <f t="shared" si="109"/>
        <v>3.8571428571428572</v>
      </c>
      <c r="O538" s="12">
        <f t="shared" si="110"/>
        <v>0.81818181818181823</v>
      </c>
      <c r="P538" s="12">
        <f t="shared" si="111"/>
        <v>0.23893805309734514</v>
      </c>
      <c r="Q538" s="13">
        <f t="shared" si="112"/>
        <v>4.7142857142857144</v>
      </c>
      <c r="R538" s="13">
        <f t="shared" si="113"/>
        <v>3.8571428571428572</v>
      </c>
    </row>
    <row r="539" spans="1:18" ht="15.75" customHeight="1" x14ac:dyDescent="0.3">
      <c r="A539" s="7" t="s">
        <v>239</v>
      </c>
      <c r="B539" s="7" t="s">
        <v>223</v>
      </c>
      <c r="C539" s="24" t="s">
        <v>58</v>
      </c>
      <c r="D539" s="24" t="s">
        <v>64</v>
      </c>
      <c r="E539" s="8">
        <v>46128</v>
      </c>
      <c r="F539" s="8">
        <v>46134</v>
      </c>
      <c r="G539" s="9">
        <v>7</v>
      </c>
      <c r="H539" s="10">
        <v>67</v>
      </c>
      <c r="I539" s="10">
        <v>24</v>
      </c>
      <c r="J539" s="10">
        <v>14</v>
      </c>
      <c r="K539" s="11">
        <f t="shared" si="106"/>
        <v>9.5714285714285712</v>
      </c>
      <c r="L539" s="11">
        <f t="shared" si="107"/>
        <v>3.4285714285714284</v>
      </c>
      <c r="M539" s="12">
        <f t="shared" si="108"/>
        <v>0.35820895522388058</v>
      </c>
      <c r="N539" s="11">
        <f t="shared" si="109"/>
        <v>2</v>
      </c>
      <c r="O539" s="12">
        <f t="shared" si="110"/>
        <v>0.58333333333333337</v>
      </c>
      <c r="P539" s="12">
        <f t="shared" si="111"/>
        <v>0.20895522388059701</v>
      </c>
      <c r="Q539" s="13">
        <f t="shared" si="112"/>
        <v>3.4285714285714284</v>
      </c>
      <c r="R539" s="13">
        <f t="shared" si="113"/>
        <v>1.9999999999999998</v>
      </c>
    </row>
    <row r="540" spans="1:18" ht="15.75" customHeight="1" x14ac:dyDescent="0.3">
      <c r="A540" s="7" t="s">
        <v>239</v>
      </c>
      <c r="B540" s="7" t="s">
        <v>200</v>
      </c>
      <c r="C540" s="24" t="s">
        <v>58</v>
      </c>
      <c r="D540" s="24" t="s">
        <v>66</v>
      </c>
      <c r="E540" s="8">
        <v>46128</v>
      </c>
      <c r="F540" s="8">
        <v>46134</v>
      </c>
      <c r="G540" s="9">
        <v>7</v>
      </c>
      <c r="H540" s="10">
        <v>70</v>
      </c>
      <c r="I540" s="10">
        <v>14</v>
      </c>
      <c r="J540" s="10">
        <v>9</v>
      </c>
      <c r="K540" s="11">
        <f t="shared" si="106"/>
        <v>10</v>
      </c>
      <c r="L540" s="11">
        <f t="shared" si="107"/>
        <v>2</v>
      </c>
      <c r="M540" s="12">
        <f t="shared" si="108"/>
        <v>0.2</v>
      </c>
      <c r="N540" s="11">
        <f t="shared" si="109"/>
        <v>1.2857142857142858</v>
      </c>
      <c r="O540" s="12">
        <f t="shared" si="110"/>
        <v>0.6428571428571429</v>
      </c>
      <c r="P540" s="12">
        <f t="shared" si="111"/>
        <v>0.12857142857142856</v>
      </c>
      <c r="Q540" s="13">
        <f t="shared" si="112"/>
        <v>2</v>
      </c>
      <c r="R540" s="13">
        <f t="shared" si="113"/>
        <v>1.2857142857142856</v>
      </c>
    </row>
    <row r="541" spans="1:18" ht="15.75" customHeight="1" x14ac:dyDescent="0.3">
      <c r="A541" s="7" t="s">
        <v>239</v>
      </c>
      <c r="B541" s="7" t="s">
        <v>201</v>
      </c>
      <c r="C541" s="24" t="s">
        <v>58</v>
      </c>
      <c r="D541" s="24" t="s">
        <v>68</v>
      </c>
      <c r="E541" s="8">
        <v>46128</v>
      </c>
      <c r="F541" s="8">
        <v>46134</v>
      </c>
      <c r="G541" s="9">
        <v>7</v>
      </c>
      <c r="H541" s="10">
        <v>20</v>
      </c>
      <c r="I541" s="10">
        <v>10</v>
      </c>
      <c r="J541" s="10">
        <v>7</v>
      </c>
      <c r="K541" s="11">
        <f t="shared" si="106"/>
        <v>2.8571428571428572</v>
      </c>
      <c r="L541" s="11">
        <f t="shared" si="107"/>
        <v>1.4285714285714286</v>
      </c>
      <c r="M541" s="12">
        <f t="shared" si="108"/>
        <v>0.5</v>
      </c>
      <c r="N541" s="11">
        <f t="shared" si="109"/>
        <v>1</v>
      </c>
      <c r="O541" s="12">
        <f t="shared" si="110"/>
        <v>0.7</v>
      </c>
      <c r="P541" s="12">
        <f t="shared" si="111"/>
        <v>0.35</v>
      </c>
      <c r="Q541" s="13">
        <f t="shared" si="112"/>
        <v>1.4285714285714286</v>
      </c>
      <c r="R541" s="13">
        <f t="shared" si="113"/>
        <v>1</v>
      </c>
    </row>
    <row r="542" spans="1:18" ht="15.75" customHeight="1" x14ac:dyDescent="0.3">
      <c r="A542" s="7" t="s">
        <v>239</v>
      </c>
      <c r="B542" s="7" t="s">
        <v>136</v>
      </c>
      <c r="C542" s="24" t="s">
        <v>58</v>
      </c>
      <c r="D542" s="24" t="s">
        <v>66</v>
      </c>
      <c r="E542" s="8">
        <v>46128</v>
      </c>
      <c r="F542" s="8">
        <v>46134</v>
      </c>
      <c r="G542" s="9">
        <v>7</v>
      </c>
      <c r="H542" s="10">
        <v>29</v>
      </c>
      <c r="I542" s="10">
        <v>9</v>
      </c>
      <c r="J542" s="10">
        <v>6</v>
      </c>
      <c r="K542" s="11">
        <f t="shared" si="106"/>
        <v>4.1428571428571432</v>
      </c>
      <c r="L542" s="11">
        <f t="shared" si="107"/>
        <v>1.2857142857142858</v>
      </c>
      <c r="M542" s="12">
        <f t="shared" si="108"/>
        <v>0.31034482758620691</v>
      </c>
      <c r="N542" s="11">
        <f t="shared" si="109"/>
        <v>0.8571428571428571</v>
      </c>
      <c r="O542" s="12">
        <f t="shared" si="110"/>
        <v>0.66666666666666663</v>
      </c>
      <c r="P542" s="12">
        <f t="shared" si="111"/>
        <v>0.20689655172413793</v>
      </c>
      <c r="Q542" s="13">
        <f t="shared" si="112"/>
        <v>1.2857142857142858</v>
      </c>
      <c r="R542" s="13">
        <f t="shared" si="113"/>
        <v>0.85714285714285721</v>
      </c>
    </row>
    <row r="543" spans="1:18" ht="15.75" customHeight="1" x14ac:dyDescent="0.3">
      <c r="A543" s="7" t="s">
        <v>239</v>
      </c>
      <c r="B543" s="7" t="s">
        <v>137</v>
      </c>
      <c r="C543" s="24" t="s">
        <v>58</v>
      </c>
      <c r="D543" s="24" t="s">
        <v>68</v>
      </c>
      <c r="E543" s="8">
        <v>46128</v>
      </c>
      <c r="F543" s="8">
        <v>46134</v>
      </c>
      <c r="G543" s="9">
        <v>7</v>
      </c>
      <c r="H543" s="10">
        <v>8</v>
      </c>
      <c r="I543" s="10">
        <v>6</v>
      </c>
      <c r="J543" s="10">
        <v>5</v>
      </c>
      <c r="K543" s="11">
        <f t="shared" si="106"/>
        <v>1.1428571428571428</v>
      </c>
      <c r="L543" s="11">
        <f t="shared" si="107"/>
        <v>0.8571428571428571</v>
      </c>
      <c r="M543" s="12">
        <f t="shared" si="108"/>
        <v>0.75</v>
      </c>
      <c r="N543" s="11">
        <f t="shared" si="109"/>
        <v>0.7142857142857143</v>
      </c>
      <c r="O543" s="12">
        <f t="shared" si="110"/>
        <v>0.83333333333333337</v>
      </c>
      <c r="P543" s="12">
        <f t="shared" si="111"/>
        <v>0.625</v>
      </c>
      <c r="Q543" s="13">
        <f t="shared" si="112"/>
        <v>0.8571428571428571</v>
      </c>
      <c r="R543" s="13">
        <f t="shared" si="113"/>
        <v>0.71428571428571419</v>
      </c>
    </row>
    <row r="544" spans="1:18" ht="15.75" customHeight="1" x14ac:dyDescent="0.3">
      <c r="A544" s="7" t="s">
        <v>239</v>
      </c>
      <c r="B544" s="7" t="s">
        <v>224</v>
      </c>
      <c r="C544" s="24" t="s">
        <v>58</v>
      </c>
      <c r="D544" s="24" t="s">
        <v>66</v>
      </c>
      <c r="E544" s="8">
        <v>46128</v>
      </c>
      <c r="F544" s="8">
        <v>46134</v>
      </c>
      <c r="G544" s="9">
        <v>7</v>
      </c>
      <c r="H544" s="10"/>
      <c r="I544" s="10"/>
      <c r="J544" s="10"/>
      <c r="K544" s="11">
        <f t="shared" si="106"/>
        <v>0</v>
      </c>
      <c r="L544" s="11">
        <f t="shared" si="107"/>
        <v>0</v>
      </c>
      <c r="M544" s="12" t="str">
        <f t="shared" si="108"/>
        <v/>
      </c>
      <c r="N544" s="11">
        <f t="shared" si="109"/>
        <v>0</v>
      </c>
      <c r="O544" s="12" t="str">
        <f t="shared" si="110"/>
        <v/>
      </c>
      <c r="P544" s="12" t="str">
        <f t="shared" si="111"/>
        <v/>
      </c>
    </row>
    <row r="545" spans="1:18" ht="15.75" customHeight="1" x14ac:dyDescent="0.3">
      <c r="A545" s="7" t="s">
        <v>239</v>
      </c>
      <c r="B545" s="7" t="s">
        <v>225</v>
      </c>
      <c r="C545" s="24" t="s">
        <v>58</v>
      </c>
      <c r="D545" s="24" t="s">
        <v>68</v>
      </c>
      <c r="E545" s="8">
        <v>46128</v>
      </c>
      <c r="F545" s="8">
        <v>46134</v>
      </c>
      <c r="G545" s="9">
        <v>7</v>
      </c>
      <c r="H545" s="10">
        <v>1</v>
      </c>
      <c r="I545" s="10">
        <v>0</v>
      </c>
      <c r="J545" s="10">
        <v>0</v>
      </c>
      <c r="K545" s="11">
        <f t="shared" si="106"/>
        <v>0.14285714285714285</v>
      </c>
      <c r="L545" s="11">
        <f t="shared" si="107"/>
        <v>0</v>
      </c>
      <c r="M545" s="12">
        <f t="shared" si="108"/>
        <v>0</v>
      </c>
      <c r="N545" s="11">
        <f t="shared" si="109"/>
        <v>0</v>
      </c>
      <c r="O545" s="12" t="str">
        <f t="shared" si="110"/>
        <v/>
      </c>
      <c r="P545" s="12">
        <f t="shared" si="111"/>
        <v>0</v>
      </c>
      <c r="Q545" s="13">
        <f t="shared" ref="Q545:Q568" si="114">IFERROR((I545/H545)*K545,"")</f>
        <v>0</v>
      </c>
      <c r="R545" s="13">
        <f t="shared" ref="R545:R568" si="115">IFERROR((J545/H545)*K545,"")</f>
        <v>0</v>
      </c>
    </row>
    <row r="546" spans="1:18" ht="15.75" customHeight="1" x14ac:dyDescent="0.3">
      <c r="A546" s="7" t="s">
        <v>239</v>
      </c>
      <c r="B546" s="7" t="s">
        <v>112</v>
      </c>
      <c r="C546" s="24" t="s">
        <v>58</v>
      </c>
      <c r="D546" s="24" t="s">
        <v>66</v>
      </c>
      <c r="E546" s="8">
        <v>46128</v>
      </c>
      <c r="F546" s="8">
        <v>46134</v>
      </c>
      <c r="G546" s="9">
        <v>7</v>
      </c>
      <c r="H546" s="10">
        <v>14</v>
      </c>
      <c r="I546" s="10">
        <v>0</v>
      </c>
      <c r="J546" s="10">
        <v>0</v>
      </c>
      <c r="K546" s="11">
        <f t="shared" si="106"/>
        <v>2</v>
      </c>
      <c r="L546" s="11">
        <f t="shared" si="107"/>
        <v>0</v>
      </c>
      <c r="M546" s="12">
        <f t="shared" si="108"/>
        <v>0</v>
      </c>
      <c r="N546" s="11">
        <f t="shared" si="109"/>
        <v>0</v>
      </c>
      <c r="O546" s="12" t="str">
        <f t="shared" si="110"/>
        <v/>
      </c>
      <c r="P546" s="12">
        <f t="shared" si="111"/>
        <v>0</v>
      </c>
      <c r="Q546" s="13">
        <f t="shared" si="114"/>
        <v>0</v>
      </c>
      <c r="R546" s="13">
        <f t="shared" si="115"/>
        <v>0</v>
      </c>
    </row>
    <row r="547" spans="1:18" ht="15.75" customHeight="1" x14ac:dyDescent="0.3">
      <c r="A547" s="7" t="s">
        <v>239</v>
      </c>
      <c r="B547" s="7" t="s">
        <v>113</v>
      </c>
      <c r="C547" s="24" t="s">
        <v>58</v>
      </c>
      <c r="D547" s="24" t="s">
        <v>68</v>
      </c>
      <c r="E547" s="8">
        <v>46128</v>
      </c>
      <c r="F547" s="8">
        <v>46134</v>
      </c>
      <c r="G547" s="9">
        <v>7</v>
      </c>
      <c r="H547" s="10">
        <v>5</v>
      </c>
      <c r="I547" s="10">
        <v>2</v>
      </c>
      <c r="J547" s="10">
        <v>2</v>
      </c>
      <c r="K547" s="11">
        <f t="shared" si="106"/>
        <v>0.7142857142857143</v>
      </c>
      <c r="L547" s="11">
        <f t="shared" si="107"/>
        <v>0.2857142857142857</v>
      </c>
      <c r="M547" s="12">
        <f t="shared" si="108"/>
        <v>0.4</v>
      </c>
      <c r="N547" s="11">
        <f t="shared" si="109"/>
        <v>0.2857142857142857</v>
      </c>
      <c r="O547" s="12">
        <f t="shared" si="110"/>
        <v>1</v>
      </c>
      <c r="P547" s="12">
        <f t="shared" si="111"/>
        <v>0.4</v>
      </c>
      <c r="Q547" s="13">
        <f t="shared" si="114"/>
        <v>0.28571428571428575</v>
      </c>
      <c r="R547" s="13">
        <f t="shared" si="115"/>
        <v>0.28571428571428575</v>
      </c>
    </row>
    <row r="548" spans="1:18" ht="15.75" customHeight="1" x14ac:dyDescent="0.3">
      <c r="A548" s="7" t="s">
        <v>239</v>
      </c>
      <c r="B548" s="7" t="s">
        <v>73</v>
      </c>
      <c r="C548" s="24" t="s">
        <v>58</v>
      </c>
      <c r="D548" s="24" t="s">
        <v>74</v>
      </c>
      <c r="E548" s="8">
        <v>46128</v>
      </c>
      <c r="F548" s="8">
        <v>46134</v>
      </c>
      <c r="G548" s="9">
        <v>7</v>
      </c>
      <c r="H548" s="10">
        <v>24</v>
      </c>
      <c r="I548" s="10">
        <v>6</v>
      </c>
      <c r="J548" s="10">
        <v>5</v>
      </c>
      <c r="K548" s="11">
        <f t="shared" si="106"/>
        <v>3.4285714285714284</v>
      </c>
      <c r="L548" s="11">
        <f t="shared" si="107"/>
        <v>0.8571428571428571</v>
      </c>
      <c r="M548" s="12">
        <f t="shared" si="108"/>
        <v>0.25</v>
      </c>
      <c r="N548" s="11">
        <f t="shared" si="109"/>
        <v>0.7142857142857143</v>
      </c>
      <c r="O548" s="12">
        <f t="shared" si="110"/>
        <v>0.83333333333333337</v>
      </c>
      <c r="P548" s="12">
        <f t="shared" si="111"/>
        <v>0.20833333333333334</v>
      </c>
      <c r="Q548" s="13">
        <f t="shared" si="114"/>
        <v>0.8571428571428571</v>
      </c>
      <c r="R548" s="13">
        <f t="shared" si="115"/>
        <v>0.7142857142857143</v>
      </c>
    </row>
    <row r="549" spans="1:18" ht="15.75" customHeight="1" x14ac:dyDescent="0.3">
      <c r="A549" s="7" t="s">
        <v>239</v>
      </c>
      <c r="B549" s="7" t="s">
        <v>131</v>
      </c>
      <c r="C549" s="24" t="s">
        <v>58</v>
      </c>
      <c r="D549" s="24" t="s">
        <v>74</v>
      </c>
      <c r="E549" s="8">
        <v>46128</v>
      </c>
      <c r="F549" s="8">
        <v>46134</v>
      </c>
      <c r="G549" s="9">
        <v>7</v>
      </c>
      <c r="H549" s="10">
        <v>82</v>
      </c>
      <c r="I549" s="10">
        <v>43</v>
      </c>
      <c r="J549" s="10">
        <v>32</v>
      </c>
      <c r="K549" s="11">
        <f t="shared" si="106"/>
        <v>11.714285714285714</v>
      </c>
      <c r="L549" s="11">
        <f t="shared" si="107"/>
        <v>6.1428571428571432</v>
      </c>
      <c r="M549" s="12">
        <f t="shared" si="108"/>
        <v>0.52439024390243905</v>
      </c>
      <c r="N549" s="11">
        <f t="shared" si="109"/>
        <v>4.5714285714285712</v>
      </c>
      <c r="O549" s="12">
        <f t="shared" si="110"/>
        <v>0.7441860465116279</v>
      </c>
      <c r="P549" s="12">
        <f t="shared" si="111"/>
        <v>0.3902439024390244</v>
      </c>
      <c r="Q549" s="13">
        <f t="shared" si="114"/>
        <v>6.1428571428571423</v>
      </c>
      <c r="R549" s="13">
        <f t="shared" si="115"/>
        <v>4.5714285714285712</v>
      </c>
    </row>
    <row r="550" spans="1:18" ht="15.75" customHeight="1" x14ac:dyDescent="0.3">
      <c r="A550" s="7" t="s">
        <v>239</v>
      </c>
      <c r="B550" s="7" t="s">
        <v>210</v>
      </c>
      <c r="C550" s="24" t="s">
        <v>58</v>
      </c>
      <c r="D550" s="24" t="s">
        <v>59</v>
      </c>
      <c r="E550" s="8">
        <v>46128</v>
      </c>
      <c r="F550" s="8">
        <v>46134</v>
      </c>
      <c r="G550" s="9">
        <v>7</v>
      </c>
      <c r="H550" s="10">
        <v>21</v>
      </c>
      <c r="I550" s="10">
        <v>10</v>
      </c>
      <c r="J550" s="10">
        <v>8</v>
      </c>
      <c r="K550" s="11">
        <f t="shared" si="106"/>
        <v>3</v>
      </c>
      <c r="L550" s="11">
        <f t="shared" si="107"/>
        <v>1.4285714285714286</v>
      </c>
      <c r="M550" s="12">
        <f t="shared" si="108"/>
        <v>0.47619047619047616</v>
      </c>
      <c r="N550" s="11">
        <f t="shared" si="109"/>
        <v>1.1428571428571428</v>
      </c>
      <c r="O550" s="12">
        <f t="shared" si="110"/>
        <v>0.8</v>
      </c>
      <c r="P550" s="12">
        <f t="shared" si="111"/>
        <v>0.38095238095238093</v>
      </c>
      <c r="Q550" s="13">
        <f t="shared" si="114"/>
        <v>1.4285714285714284</v>
      </c>
      <c r="R550" s="13">
        <f t="shared" si="115"/>
        <v>1.1428571428571428</v>
      </c>
    </row>
    <row r="551" spans="1:18" ht="15.75" customHeight="1" x14ac:dyDescent="0.3">
      <c r="A551" s="7" t="s">
        <v>239</v>
      </c>
      <c r="B551" s="7" t="s">
        <v>203</v>
      </c>
      <c r="C551" s="24" t="s">
        <v>58</v>
      </c>
      <c r="D551" s="24" t="s">
        <v>59</v>
      </c>
      <c r="E551" s="8">
        <v>46128</v>
      </c>
      <c r="F551" s="8">
        <v>46134</v>
      </c>
      <c r="G551" s="9">
        <v>7</v>
      </c>
      <c r="H551" s="10">
        <v>31</v>
      </c>
      <c r="I551" s="10">
        <v>14</v>
      </c>
      <c r="J551" s="10">
        <v>10</v>
      </c>
      <c r="K551" s="11">
        <f t="shared" si="106"/>
        <v>4.4285714285714288</v>
      </c>
      <c r="L551" s="11">
        <f t="shared" si="107"/>
        <v>2</v>
      </c>
      <c r="M551" s="12">
        <f t="shared" si="108"/>
        <v>0.45161290322580644</v>
      </c>
      <c r="N551" s="11">
        <f t="shared" si="109"/>
        <v>1.4285714285714286</v>
      </c>
      <c r="O551" s="12">
        <f t="shared" si="110"/>
        <v>0.7142857142857143</v>
      </c>
      <c r="P551" s="12">
        <f t="shared" si="111"/>
        <v>0.32258064516129031</v>
      </c>
      <c r="Q551" s="13">
        <f t="shared" si="114"/>
        <v>2</v>
      </c>
      <c r="R551" s="13">
        <f t="shared" si="115"/>
        <v>1.4285714285714286</v>
      </c>
    </row>
    <row r="552" spans="1:18" ht="15.75" customHeight="1" x14ac:dyDescent="0.3">
      <c r="A552" s="7" t="s">
        <v>241</v>
      </c>
      <c r="B552" s="7" t="s">
        <v>78</v>
      </c>
      <c r="C552" s="24" t="s">
        <v>34</v>
      </c>
      <c r="D552" s="24" t="s">
        <v>35</v>
      </c>
      <c r="E552" s="8">
        <v>46135</v>
      </c>
      <c r="F552" s="8">
        <v>46142</v>
      </c>
      <c r="G552" s="9">
        <v>8</v>
      </c>
      <c r="H552" s="10">
        <v>823</v>
      </c>
      <c r="I552" s="10">
        <v>298</v>
      </c>
      <c r="J552" s="10">
        <v>198</v>
      </c>
      <c r="K552" s="11">
        <f t="shared" si="106"/>
        <v>102.875</v>
      </c>
      <c r="L552" s="11">
        <f t="shared" si="107"/>
        <v>37.25</v>
      </c>
      <c r="M552" s="12">
        <f t="shared" si="108"/>
        <v>0.362089914945322</v>
      </c>
      <c r="N552" s="11">
        <f t="shared" si="109"/>
        <v>24.75</v>
      </c>
      <c r="O552" s="12">
        <f t="shared" si="110"/>
        <v>0.66442953020134232</v>
      </c>
      <c r="P552" s="12">
        <f t="shared" si="111"/>
        <v>0.24058323207776428</v>
      </c>
      <c r="Q552" s="13">
        <f t="shared" si="114"/>
        <v>37.25</v>
      </c>
      <c r="R552" s="13">
        <f t="shared" si="115"/>
        <v>24.75</v>
      </c>
    </row>
    <row r="553" spans="1:18" ht="15.75" customHeight="1" x14ac:dyDescent="0.3">
      <c r="A553" s="7" t="s">
        <v>241</v>
      </c>
      <c r="B553" s="7" t="s">
        <v>242</v>
      </c>
      <c r="C553" s="24" t="s">
        <v>34</v>
      </c>
      <c r="D553" s="24" t="s">
        <v>35</v>
      </c>
      <c r="E553" s="8">
        <v>46135</v>
      </c>
      <c r="F553" s="8">
        <v>46142</v>
      </c>
      <c r="G553" s="9">
        <v>8</v>
      </c>
      <c r="H553" s="10">
        <v>1</v>
      </c>
      <c r="I553" s="10">
        <v>1</v>
      </c>
      <c r="J553" s="10">
        <v>1</v>
      </c>
      <c r="K553" s="11">
        <f t="shared" si="106"/>
        <v>0.125</v>
      </c>
      <c r="L553" s="11">
        <f t="shared" si="107"/>
        <v>0.125</v>
      </c>
      <c r="M553" s="12">
        <f t="shared" si="108"/>
        <v>1</v>
      </c>
      <c r="N553" s="11">
        <f t="shared" si="109"/>
        <v>0.125</v>
      </c>
      <c r="O553" s="12">
        <f t="shared" si="110"/>
        <v>1</v>
      </c>
      <c r="P553" s="12">
        <f t="shared" si="111"/>
        <v>1</v>
      </c>
      <c r="Q553" s="13">
        <f t="shared" si="114"/>
        <v>0.125</v>
      </c>
      <c r="R553" s="13">
        <f t="shared" si="115"/>
        <v>0.125</v>
      </c>
    </row>
    <row r="554" spans="1:18" ht="15.75" customHeight="1" x14ac:dyDescent="0.3">
      <c r="A554" s="7" t="s">
        <v>241</v>
      </c>
      <c r="B554" s="7" t="s">
        <v>156</v>
      </c>
      <c r="C554" s="24" t="s">
        <v>34</v>
      </c>
      <c r="D554" s="24" t="s">
        <v>35</v>
      </c>
      <c r="E554" s="8">
        <v>46135</v>
      </c>
      <c r="F554" s="8">
        <v>46142</v>
      </c>
      <c r="G554" s="9">
        <v>8</v>
      </c>
      <c r="H554" s="10">
        <v>306</v>
      </c>
      <c r="I554" s="10">
        <v>85</v>
      </c>
      <c r="J554" s="10">
        <v>53</v>
      </c>
      <c r="K554" s="11">
        <f t="shared" si="106"/>
        <v>38.25</v>
      </c>
      <c r="L554" s="11">
        <f t="shared" si="107"/>
        <v>10.625</v>
      </c>
      <c r="M554" s="12">
        <f t="shared" si="108"/>
        <v>0.27777777777777779</v>
      </c>
      <c r="N554" s="11">
        <f t="shared" si="109"/>
        <v>6.625</v>
      </c>
      <c r="O554" s="12">
        <f t="shared" si="110"/>
        <v>0.62352941176470589</v>
      </c>
      <c r="P554" s="12">
        <f t="shared" si="111"/>
        <v>0.17320261437908496</v>
      </c>
      <c r="Q554" s="13">
        <f t="shared" si="114"/>
        <v>10.625</v>
      </c>
      <c r="R554" s="13">
        <f t="shared" si="115"/>
        <v>6.625</v>
      </c>
    </row>
    <row r="555" spans="1:18" ht="15.75" customHeight="1" x14ac:dyDescent="0.3">
      <c r="A555" s="7" t="s">
        <v>241</v>
      </c>
      <c r="B555" s="7" t="s">
        <v>81</v>
      </c>
      <c r="C555" s="24" t="s">
        <v>34</v>
      </c>
      <c r="D555" s="24" t="s">
        <v>35</v>
      </c>
      <c r="E555" s="8">
        <v>46135</v>
      </c>
      <c r="F555" s="8">
        <v>46142</v>
      </c>
      <c r="G555" s="9">
        <v>8</v>
      </c>
      <c r="H555" s="10">
        <v>457</v>
      </c>
      <c r="I555" s="10">
        <v>113</v>
      </c>
      <c r="J555" s="10">
        <v>72</v>
      </c>
      <c r="K555" s="11">
        <f t="shared" si="106"/>
        <v>57.125</v>
      </c>
      <c r="L555" s="11">
        <f t="shared" si="107"/>
        <v>14.125</v>
      </c>
      <c r="M555" s="12">
        <f t="shared" si="108"/>
        <v>0.24726477024070023</v>
      </c>
      <c r="N555" s="11">
        <f t="shared" si="109"/>
        <v>9</v>
      </c>
      <c r="O555" s="12">
        <f t="shared" si="110"/>
        <v>0.63716814159292035</v>
      </c>
      <c r="P555" s="12">
        <f t="shared" si="111"/>
        <v>0.1575492341356674</v>
      </c>
      <c r="Q555" s="13">
        <f t="shared" si="114"/>
        <v>14.125</v>
      </c>
      <c r="R555" s="13">
        <f t="shared" si="115"/>
        <v>9</v>
      </c>
    </row>
    <row r="556" spans="1:18" ht="15.75" customHeight="1" x14ac:dyDescent="0.3">
      <c r="A556" s="7" t="s">
        <v>241</v>
      </c>
      <c r="B556" s="7" t="s">
        <v>38</v>
      </c>
      <c r="C556" s="24" t="s">
        <v>34</v>
      </c>
      <c r="D556" s="24" t="s">
        <v>39</v>
      </c>
      <c r="E556" s="8">
        <v>46135</v>
      </c>
      <c r="F556" s="8">
        <v>46142</v>
      </c>
      <c r="G556" s="9">
        <v>8</v>
      </c>
      <c r="H556" s="10">
        <v>287</v>
      </c>
      <c r="I556" s="10">
        <v>39</v>
      </c>
      <c r="J556" s="10">
        <v>30</v>
      </c>
      <c r="K556" s="11">
        <f t="shared" si="106"/>
        <v>35.875</v>
      </c>
      <c r="L556" s="11">
        <f t="shared" si="107"/>
        <v>4.875</v>
      </c>
      <c r="M556" s="12">
        <f t="shared" si="108"/>
        <v>0.13588850174216027</v>
      </c>
      <c r="N556" s="11">
        <f t="shared" si="109"/>
        <v>3.75</v>
      </c>
      <c r="O556" s="12">
        <f t="shared" si="110"/>
        <v>0.76923076923076927</v>
      </c>
      <c r="P556" s="12">
        <f t="shared" si="111"/>
        <v>0.10452961672473868</v>
      </c>
      <c r="Q556" s="13">
        <f t="shared" si="114"/>
        <v>4.875</v>
      </c>
      <c r="R556" s="13">
        <f t="shared" si="115"/>
        <v>3.75</v>
      </c>
    </row>
    <row r="557" spans="1:18" ht="15.75" customHeight="1" x14ac:dyDescent="0.3">
      <c r="A557" s="7" t="s">
        <v>241</v>
      </c>
      <c r="B557" s="7" t="s">
        <v>40</v>
      </c>
      <c r="C557" s="24" t="s">
        <v>34</v>
      </c>
      <c r="D557" s="24" t="s">
        <v>39</v>
      </c>
      <c r="E557" s="8">
        <v>46135</v>
      </c>
      <c r="F557" s="8">
        <v>46142</v>
      </c>
      <c r="G557" s="9">
        <v>8</v>
      </c>
      <c r="H557" s="10">
        <v>4</v>
      </c>
      <c r="I557" s="10">
        <v>0</v>
      </c>
      <c r="J557" s="10">
        <v>0</v>
      </c>
      <c r="K557" s="11">
        <f t="shared" si="106"/>
        <v>0.5</v>
      </c>
      <c r="L557" s="11">
        <f t="shared" si="107"/>
        <v>0</v>
      </c>
      <c r="M557" s="12">
        <f t="shared" si="108"/>
        <v>0</v>
      </c>
      <c r="N557" s="11">
        <f t="shared" si="109"/>
        <v>0</v>
      </c>
      <c r="O557" s="12" t="str">
        <f t="shared" si="110"/>
        <v/>
      </c>
      <c r="P557" s="12">
        <f t="shared" si="111"/>
        <v>0</v>
      </c>
      <c r="Q557" s="13">
        <f t="shared" si="114"/>
        <v>0</v>
      </c>
      <c r="R557" s="13">
        <f t="shared" si="115"/>
        <v>0</v>
      </c>
    </row>
    <row r="558" spans="1:18" ht="15.75" customHeight="1" x14ac:dyDescent="0.3">
      <c r="A558" s="7" t="s">
        <v>241</v>
      </c>
      <c r="B558" s="7" t="s">
        <v>219</v>
      </c>
      <c r="C558" s="24" t="s">
        <v>34</v>
      </c>
      <c r="D558" s="24" t="s">
        <v>445</v>
      </c>
      <c r="E558" s="8">
        <v>46135</v>
      </c>
      <c r="F558" s="8">
        <v>46142</v>
      </c>
      <c r="G558" s="9">
        <v>8</v>
      </c>
      <c r="H558" s="10">
        <v>219</v>
      </c>
      <c r="I558" s="10">
        <v>30</v>
      </c>
      <c r="J558" s="10">
        <v>22</v>
      </c>
      <c r="K558" s="11">
        <f t="shared" si="106"/>
        <v>27.375</v>
      </c>
      <c r="L558" s="11">
        <f t="shared" si="107"/>
        <v>3.75</v>
      </c>
      <c r="M558" s="12">
        <f t="shared" si="108"/>
        <v>0.13698630136986301</v>
      </c>
      <c r="N558" s="11">
        <f t="shared" si="109"/>
        <v>2.75</v>
      </c>
      <c r="O558" s="12">
        <f t="shared" si="110"/>
        <v>0.73333333333333328</v>
      </c>
      <c r="P558" s="12">
        <f t="shared" si="111"/>
        <v>0.1004566210045662</v>
      </c>
      <c r="Q558" s="13">
        <f t="shared" si="114"/>
        <v>3.75</v>
      </c>
      <c r="R558" s="13">
        <f t="shared" si="115"/>
        <v>2.75</v>
      </c>
    </row>
    <row r="559" spans="1:18" ht="15.75" customHeight="1" x14ac:dyDescent="0.3">
      <c r="A559" s="7" t="s">
        <v>241</v>
      </c>
      <c r="B559" s="7" t="s">
        <v>43</v>
      </c>
      <c r="C559" s="24" t="s">
        <v>34</v>
      </c>
      <c r="D559" s="24" t="s">
        <v>44</v>
      </c>
      <c r="E559" s="8">
        <v>46135</v>
      </c>
      <c r="F559" s="8">
        <v>46142</v>
      </c>
      <c r="G559" s="9">
        <v>8</v>
      </c>
      <c r="H559" s="10">
        <v>379</v>
      </c>
      <c r="I559" s="10">
        <v>48</v>
      </c>
      <c r="J559" s="10">
        <v>36</v>
      </c>
      <c r="K559" s="11">
        <f t="shared" si="106"/>
        <v>47.375</v>
      </c>
      <c r="L559" s="11">
        <f t="shared" si="107"/>
        <v>6</v>
      </c>
      <c r="M559" s="12">
        <f t="shared" si="108"/>
        <v>0.12664907651715041</v>
      </c>
      <c r="N559" s="11">
        <f t="shared" si="109"/>
        <v>4.5</v>
      </c>
      <c r="O559" s="12">
        <f t="shared" si="110"/>
        <v>0.75</v>
      </c>
      <c r="P559" s="12">
        <f t="shared" si="111"/>
        <v>9.498680738786279E-2</v>
      </c>
      <c r="Q559" s="13">
        <f t="shared" si="114"/>
        <v>6</v>
      </c>
      <c r="R559" s="13">
        <f t="shared" si="115"/>
        <v>4.5</v>
      </c>
    </row>
    <row r="560" spans="1:18" ht="15.75" customHeight="1" x14ac:dyDescent="0.3">
      <c r="A560" s="7" t="s">
        <v>241</v>
      </c>
      <c r="B560" s="7" t="s">
        <v>45</v>
      </c>
      <c r="C560" s="24" t="s">
        <v>34</v>
      </c>
      <c r="D560" s="24" t="s">
        <v>44</v>
      </c>
      <c r="E560" s="8">
        <v>46135</v>
      </c>
      <c r="F560" s="8">
        <v>46142</v>
      </c>
      <c r="G560" s="9">
        <v>8</v>
      </c>
      <c r="H560" s="10">
        <v>549</v>
      </c>
      <c r="I560" s="10">
        <v>73</v>
      </c>
      <c r="J560" s="10">
        <v>47</v>
      </c>
      <c r="K560" s="11">
        <f t="shared" si="106"/>
        <v>68.625</v>
      </c>
      <c r="L560" s="11">
        <f t="shared" si="107"/>
        <v>9.125</v>
      </c>
      <c r="M560" s="12">
        <f t="shared" si="108"/>
        <v>0.13296903460837886</v>
      </c>
      <c r="N560" s="11">
        <f t="shared" si="109"/>
        <v>5.875</v>
      </c>
      <c r="O560" s="12">
        <f t="shared" si="110"/>
        <v>0.64383561643835618</v>
      </c>
      <c r="P560" s="12">
        <f t="shared" si="111"/>
        <v>8.5610200364298727E-2</v>
      </c>
      <c r="Q560" s="13">
        <f t="shared" si="114"/>
        <v>9.125</v>
      </c>
      <c r="R560" s="13">
        <f t="shared" si="115"/>
        <v>5.875</v>
      </c>
    </row>
    <row r="561" spans="1:18" ht="15.75" customHeight="1" x14ac:dyDescent="0.3">
      <c r="A561" s="7" t="s">
        <v>241</v>
      </c>
      <c r="B561" s="7" t="s">
        <v>220</v>
      </c>
      <c r="C561" s="24" t="s">
        <v>34</v>
      </c>
      <c r="D561" s="24" t="s">
        <v>44</v>
      </c>
      <c r="E561" s="8">
        <v>46135</v>
      </c>
      <c r="F561" s="8">
        <v>46142</v>
      </c>
      <c r="G561" s="9">
        <v>8</v>
      </c>
      <c r="H561" s="10">
        <v>177</v>
      </c>
      <c r="I561" s="10">
        <v>30</v>
      </c>
      <c r="J561" s="10">
        <v>21</v>
      </c>
      <c r="K561" s="11">
        <f t="shared" si="106"/>
        <v>22.125</v>
      </c>
      <c r="L561" s="11">
        <f t="shared" si="107"/>
        <v>3.75</v>
      </c>
      <c r="M561" s="12">
        <f t="shared" si="108"/>
        <v>0.16949152542372881</v>
      </c>
      <c r="N561" s="11">
        <f t="shared" si="109"/>
        <v>2.625</v>
      </c>
      <c r="O561" s="12">
        <f t="shared" si="110"/>
        <v>0.7</v>
      </c>
      <c r="P561" s="12">
        <f t="shared" si="111"/>
        <v>0.11864406779661017</v>
      </c>
      <c r="Q561" s="13">
        <f t="shared" si="114"/>
        <v>3.75</v>
      </c>
      <c r="R561" s="13">
        <f t="shared" si="115"/>
        <v>2.625</v>
      </c>
    </row>
    <row r="562" spans="1:18" ht="15.75" customHeight="1" x14ac:dyDescent="0.3">
      <c r="A562" s="7" t="s">
        <v>241</v>
      </c>
      <c r="B562" s="7" t="s">
        <v>46</v>
      </c>
      <c r="C562" s="24" t="s">
        <v>47</v>
      </c>
      <c r="D562" s="24" t="s">
        <v>48</v>
      </c>
      <c r="E562" s="8">
        <v>46135</v>
      </c>
      <c r="F562" s="8">
        <v>46142</v>
      </c>
      <c r="G562" s="9">
        <v>8</v>
      </c>
      <c r="H562" s="10">
        <v>693</v>
      </c>
      <c r="I562" s="10">
        <v>236</v>
      </c>
      <c r="J562" s="10">
        <v>173</v>
      </c>
      <c r="K562" s="11">
        <f t="shared" si="106"/>
        <v>86.625</v>
      </c>
      <c r="L562" s="11">
        <f t="shared" si="107"/>
        <v>29.5</v>
      </c>
      <c r="M562" s="12">
        <f t="shared" si="108"/>
        <v>0.34054834054834054</v>
      </c>
      <c r="N562" s="11">
        <f t="shared" si="109"/>
        <v>21.625</v>
      </c>
      <c r="O562" s="12">
        <f t="shared" si="110"/>
        <v>0.73305084745762716</v>
      </c>
      <c r="P562" s="12">
        <f t="shared" si="111"/>
        <v>0.24963924963924963</v>
      </c>
      <c r="Q562" s="13">
        <f t="shared" si="114"/>
        <v>29.5</v>
      </c>
      <c r="R562" s="13">
        <f t="shared" si="115"/>
        <v>21.625</v>
      </c>
    </row>
    <row r="563" spans="1:18" ht="15.75" customHeight="1" x14ac:dyDescent="0.3">
      <c r="A563" s="7" t="s">
        <v>241</v>
      </c>
      <c r="B563" s="7" t="s">
        <v>49</v>
      </c>
      <c r="C563" s="24" t="s">
        <v>47</v>
      </c>
      <c r="D563" s="24" t="s">
        <v>48</v>
      </c>
      <c r="E563" s="8">
        <v>46135</v>
      </c>
      <c r="F563" s="8">
        <v>46142</v>
      </c>
      <c r="G563" s="9">
        <v>8</v>
      </c>
      <c r="H563" s="10">
        <v>43</v>
      </c>
      <c r="I563" s="10">
        <v>14</v>
      </c>
      <c r="J563" s="10">
        <v>7</v>
      </c>
      <c r="K563" s="11">
        <f t="shared" si="106"/>
        <v>5.375</v>
      </c>
      <c r="L563" s="11">
        <f t="shared" si="107"/>
        <v>1.75</v>
      </c>
      <c r="M563" s="12">
        <f t="shared" si="108"/>
        <v>0.32558139534883723</v>
      </c>
      <c r="N563" s="11">
        <f t="shared" si="109"/>
        <v>0.875</v>
      </c>
      <c r="O563" s="12">
        <f t="shared" si="110"/>
        <v>0.5</v>
      </c>
      <c r="P563" s="12">
        <f t="shared" si="111"/>
        <v>0.16279069767441862</v>
      </c>
      <c r="Q563" s="13">
        <f t="shared" si="114"/>
        <v>1.7500000000000002</v>
      </c>
      <c r="R563" s="13">
        <f t="shared" si="115"/>
        <v>0.87500000000000011</v>
      </c>
    </row>
    <row r="564" spans="1:18" ht="15.75" customHeight="1" x14ac:dyDescent="0.3">
      <c r="A564" s="7" t="s">
        <v>241</v>
      </c>
      <c r="B564" s="7" t="s">
        <v>97</v>
      </c>
      <c r="C564" s="24" t="s">
        <v>47</v>
      </c>
      <c r="D564" s="24" t="s">
        <v>53</v>
      </c>
      <c r="E564" s="8">
        <v>46135</v>
      </c>
      <c r="F564" s="8">
        <v>46142</v>
      </c>
      <c r="G564" s="9">
        <v>8</v>
      </c>
      <c r="H564" s="10">
        <v>179</v>
      </c>
      <c r="I564" s="10">
        <v>70</v>
      </c>
      <c r="J564" s="10">
        <v>52</v>
      </c>
      <c r="K564" s="11">
        <f t="shared" si="106"/>
        <v>22.375</v>
      </c>
      <c r="L564" s="11">
        <f t="shared" si="107"/>
        <v>8.75</v>
      </c>
      <c r="M564" s="12">
        <f t="shared" si="108"/>
        <v>0.39106145251396646</v>
      </c>
      <c r="N564" s="11">
        <f t="shared" si="109"/>
        <v>6.5</v>
      </c>
      <c r="O564" s="12">
        <f t="shared" si="110"/>
        <v>0.74285714285714288</v>
      </c>
      <c r="P564" s="12">
        <f t="shared" si="111"/>
        <v>0.29050279329608941</v>
      </c>
      <c r="Q564" s="13">
        <f t="shared" si="114"/>
        <v>8.75</v>
      </c>
      <c r="R564" s="13">
        <f t="shared" si="115"/>
        <v>6.5000000000000009</v>
      </c>
    </row>
    <row r="565" spans="1:18" ht="15.75" customHeight="1" x14ac:dyDescent="0.3">
      <c r="A565" s="7" t="s">
        <v>241</v>
      </c>
      <c r="B565" s="7" t="s">
        <v>98</v>
      </c>
      <c r="C565" s="24" t="s">
        <v>47</v>
      </c>
      <c r="D565" s="24" t="s">
        <v>53</v>
      </c>
      <c r="E565" s="8">
        <v>46135</v>
      </c>
      <c r="F565" s="8">
        <v>46142</v>
      </c>
      <c r="G565" s="9">
        <v>8</v>
      </c>
      <c r="H565" s="10">
        <v>126</v>
      </c>
      <c r="I565" s="10">
        <v>26</v>
      </c>
      <c r="J565" s="10">
        <v>23</v>
      </c>
      <c r="K565" s="11">
        <f t="shared" si="106"/>
        <v>15.75</v>
      </c>
      <c r="L565" s="11">
        <f t="shared" si="107"/>
        <v>3.25</v>
      </c>
      <c r="M565" s="12">
        <f t="shared" si="108"/>
        <v>0.20634920634920634</v>
      </c>
      <c r="N565" s="11">
        <f t="shared" si="109"/>
        <v>2.875</v>
      </c>
      <c r="O565" s="12">
        <f t="shared" si="110"/>
        <v>0.88461538461538458</v>
      </c>
      <c r="P565" s="12">
        <f t="shared" si="111"/>
        <v>0.18253968253968253</v>
      </c>
      <c r="Q565" s="13">
        <f t="shared" si="114"/>
        <v>3.25</v>
      </c>
      <c r="R565" s="13">
        <f t="shared" si="115"/>
        <v>2.875</v>
      </c>
    </row>
    <row r="566" spans="1:18" ht="15.75" customHeight="1" x14ac:dyDescent="0.3">
      <c r="A566" s="7" t="s">
        <v>241</v>
      </c>
      <c r="B566" s="7" t="s">
        <v>126</v>
      </c>
      <c r="C566" s="24" t="s">
        <v>58</v>
      </c>
      <c r="D566" s="24" t="s">
        <v>61</v>
      </c>
      <c r="E566" s="8">
        <v>46135</v>
      </c>
      <c r="F566" s="8">
        <v>46142</v>
      </c>
      <c r="G566" s="9">
        <v>8</v>
      </c>
      <c r="H566" s="10">
        <v>333</v>
      </c>
      <c r="I566" s="10">
        <v>92</v>
      </c>
      <c r="J566" s="10">
        <v>72</v>
      </c>
      <c r="K566" s="11">
        <f t="shared" si="106"/>
        <v>41.625</v>
      </c>
      <c r="L566" s="11">
        <f t="shared" si="107"/>
        <v>11.5</v>
      </c>
      <c r="M566" s="12">
        <f t="shared" si="108"/>
        <v>0.27627627627627627</v>
      </c>
      <c r="N566" s="11">
        <f t="shared" si="109"/>
        <v>9</v>
      </c>
      <c r="O566" s="12">
        <f t="shared" si="110"/>
        <v>0.78260869565217395</v>
      </c>
      <c r="P566" s="12">
        <f t="shared" si="111"/>
        <v>0.21621621621621623</v>
      </c>
      <c r="Q566" s="13">
        <f t="shared" si="114"/>
        <v>11.5</v>
      </c>
      <c r="R566" s="13">
        <f t="shared" si="115"/>
        <v>9</v>
      </c>
    </row>
    <row r="567" spans="1:18" ht="15.75" customHeight="1" x14ac:dyDescent="0.3">
      <c r="A567" s="7" t="s">
        <v>241</v>
      </c>
      <c r="B567" s="7" t="s">
        <v>127</v>
      </c>
      <c r="C567" s="24" t="s">
        <v>58</v>
      </c>
      <c r="D567" s="24" t="s">
        <v>107</v>
      </c>
      <c r="E567" s="8">
        <v>46135</v>
      </c>
      <c r="F567" s="8">
        <v>46142</v>
      </c>
      <c r="G567" s="9">
        <v>8</v>
      </c>
      <c r="H567" s="10">
        <v>28</v>
      </c>
      <c r="I567" s="10">
        <v>10</v>
      </c>
      <c r="J567" s="10">
        <v>7</v>
      </c>
      <c r="K567" s="11">
        <f t="shared" si="106"/>
        <v>3.5</v>
      </c>
      <c r="L567" s="11">
        <f t="shared" si="107"/>
        <v>1.25</v>
      </c>
      <c r="M567" s="12">
        <f t="shared" si="108"/>
        <v>0.35714285714285715</v>
      </c>
      <c r="N567" s="11">
        <f t="shared" si="109"/>
        <v>0.875</v>
      </c>
      <c r="O567" s="12">
        <f t="shared" si="110"/>
        <v>0.7</v>
      </c>
      <c r="P567" s="12">
        <f t="shared" si="111"/>
        <v>0.25</v>
      </c>
      <c r="Q567" s="13">
        <f t="shared" si="114"/>
        <v>1.25</v>
      </c>
      <c r="R567" s="13">
        <f t="shared" si="115"/>
        <v>0.875</v>
      </c>
    </row>
    <row r="568" spans="1:18" ht="15.75" customHeight="1" x14ac:dyDescent="0.3">
      <c r="A568" s="7" t="s">
        <v>241</v>
      </c>
      <c r="B568" s="7" t="s">
        <v>194</v>
      </c>
      <c r="C568" s="24" t="s">
        <v>58</v>
      </c>
      <c r="D568" s="24" t="s">
        <v>103</v>
      </c>
      <c r="E568" s="8">
        <v>46135</v>
      </c>
      <c r="F568" s="8">
        <v>46142</v>
      </c>
      <c r="G568" s="9">
        <v>8</v>
      </c>
      <c r="H568" s="10">
        <v>173</v>
      </c>
      <c r="I568" s="10">
        <v>32</v>
      </c>
      <c r="J568" s="10">
        <v>25</v>
      </c>
      <c r="K568" s="11">
        <f t="shared" ref="K568:K631" si="116">IFERROR(H568/G568,"")</f>
        <v>21.625</v>
      </c>
      <c r="L568" s="11">
        <f t="shared" ref="L568:L631" si="117">IFERROR(I568/G568,"")</f>
        <v>4</v>
      </c>
      <c r="M568" s="12">
        <f t="shared" ref="M568:M631" si="118">IFERROR(I568/H568,"")</f>
        <v>0.18497109826589594</v>
      </c>
      <c r="N568" s="11">
        <f t="shared" ref="N568:N631" si="119">IFERROR(J568/G568,"")</f>
        <v>3.125</v>
      </c>
      <c r="O568" s="12">
        <f t="shared" ref="O568:O631" si="120">IFERROR(J568/I568,"")</f>
        <v>0.78125</v>
      </c>
      <c r="P568" s="12">
        <f t="shared" ref="P568:P631" si="121">IFERROR(J568/H568,"")</f>
        <v>0.14450867052023122</v>
      </c>
      <c r="Q568" s="13">
        <f t="shared" si="114"/>
        <v>4</v>
      </c>
      <c r="R568" s="13">
        <f t="shared" si="115"/>
        <v>3.1250000000000004</v>
      </c>
    </row>
    <row r="569" spans="1:18" ht="15.75" customHeight="1" x14ac:dyDescent="0.3">
      <c r="A569" s="7" t="s">
        <v>241</v>
      </c>
      <c r="B569" s="7" t="s">
        <v>243</v>
      </c>
      <c r="C569" s="24" t="s">
        <v>58</v>
      </c>
      <c r="D569" s="24" t="s">
        <v>193</v>
      </c>
      <c r="E569" s="8">
        <v>46135</v>
      </c>
      <c r="F569" s="8">
        <v>46142</v>
      </c>
      <c r="G569" s="9">
        <v>8</v>
      </c>
      <c r="H569" s="10"/>
      <c r="I569" s="10"/>
      <c r="J569" s="10"/>
      <c r="K569" s="11">
        <f t="shared" si="116"/>
        <v>0</v>
      </c>
      <c r="L569" s="11">
        <f t="shared" si="117"/>
        <v>0</v>
      </c>
      <c r="M569" s="12" t="str">
        <f t="shared" si="118"/>
        <v/>
      </c>
      <c r="N569" s="11">
        <f t="shared" si="119"/>
        <v>0</v>
      </c>
      <c r="O569" s="12" t="str">
        <f t="shared" si="120"/>
        <v/>
      </c>
      <c r="P569" s="12" t="str">
        <f t="shared" si="121"/>
        <v/>
      </c>
    </row>
    <row r="570" spans="1:18" ht="15.75" customHeight="1" x14ac:dyDescent="0.3">
      <c r="A570" s="7" t="s">
        <v>241</v>
      </c>
      <c r="B570" s="7" t="s">
        <v>244</v>
      </c>
      <c r="C570" s="24" t="s">
        <v>58</v>
      </c>
      <c r="D570" s="24" t="s">
        <v>103</v>
      </c>
      <c r="E570" s="8">
        <v>46135</v>
      </c>
      <c r="F570" s="8">
        <v>46142</v>
      </c>
      <c r="G570" s="9">
        <v>8</v>
      </c>
      <c r="H570" s="10">
        <v>67</v>
      </c>
      <c r="I570" s="10">
        <v>16</v>
      </c>
      <c r="J570" s="10">
        <v>10</v>
      </c>
      <c r="K570" s="11">
        <f t="shared" si="116"/>
        <v>8.375</v>
      </c>
      <c r="L570" s="11">
        <f t="shared" si="117"/>
        <v>2</v>
      </c>
      <c r="M570" s="12">
        <f t="shared" si="118"/>
        <v>0.23880597014925373</v>
      </c>
      <c r="N570" s="11">
        <f t="shared" si="119"/>
        <v>1.25</v>
      </c>
      <c r="O570" s="12">
        <f t="shared" si="120"/>
        <v>0.625</v>
      </c>
      <c r="P570" s="12">
        <f t="shared" si="121"/>
        <v>0.14925373134328357</v>
      </c>
      <c r="Q570" s="13">
        <f t="shared" ref="Q570:Q587" si="122">IFERROR((I570/H570)*K570,"")</f>
        <v>2</v>
      </c>
      <c r="R570" s="13">
        <f t="shared" ref="R570:R587" si="123">IFERROR((J570/H570)*K570,"")</f>
        <v>1.25</v>
      </c>
    </row>
    <row r="571" spans="1:18" ht="15.75" customHeight="1" x14ac:dyDescent="0.3">
      <c r="A571" s="7" t="s">
        <v>241</v>
      </c>
      <c r="B571" s="7" t="s">
        <v>104</v>
      </c>
      <c r="C571" s="24" t="s">
        <v>58</v>
      </c>
      <c r="D571" s="24" t="s">
        <v>61</v>
      </c>
      <c r="E571" s="8">
        <v>46135</v>
      </c>
      <c r="F571" s="8">
        <v>46142</v>
      </c>
      <c r="G571" s="9">
        <v>8</v>
      </c>
      <c r="H571" s="10">
        <v>253</v>
      </c>
      <c r="I571" s="10">
        <v>56</v>
      </c>
      <c r="J571" s="10">
        <v>39</v>
      </c>
      <c r="K571" s="11">
        <f t="shared" si="116"/>
        <v>31.625</v>
      </c>
      <c r="L571" s="11">
        <f t="shared" si="117"/>
        <v>7</v>
      </c>
      <c r="M571" s="12">
        <f t="shared" si="118"/>
        <v>0.22134387351778656</v>
      </c>
      <c r="N571" s="11">
        <f t="shared" si="119"/>
        <v>4.875</v>
      </c>
      <c r="O571" s="12">
        <f t="shared" si="120"/>
        <v>0.6964285714285714</v>
      </c>
      <c r="P571" s="12">
        <f t="shared" si="121"/>
        <v>0.1541501976284585</v>
      </c>
      <c r="Q571" s="13">
        <f t="shared" si="122"/>
        <v>7</v>
      </c>
      <c r="R571" s="13">
        <f t="shared" si="123"/>
        <v>4.875</v>
      </c>
    </row>
    <row r="572" spans="1:18" ht="15.75" customHeight="1" x14ac:dyDescent="0.3">
      <c r="A572" s="7" t="s">
        <v>241</v>
      </c>
      <c r="B572" s="7" t="s">
        <v>208</v>
      </c>
      <c r="C572" s="24" t="s">
        <v>58</v>
      </c>
      <c r="D572" s="24" t="s">
        <v>107</v>
      </c>
      <c r="E572" s="8">
        <v>46135</v>
      </c>
      <c r="F572" s="8">
        <v>46142</v>
      </c>
      <c r="G572" s="9">
        <v>8</v>
      </c>
      <c r="H572" s="10">
        <v>220</v>
      </c>
      <c r="I572" s="10">
        <v>100</v>
      </c>
      <c r="J572" s="10">
        <v>73</v>
      </c>
      <c r="K572" s="11">
        <f t="shared" si="116"/>
        <v>27.5</v>
      </c>
      <c r="L572" s="11">
        <f t="shared" si="117"/>
        <v>12.5</v>
      </c>
      <c r="M572" s="12">
        <f t="shared" si="118"/>
        <v>0.45454545454545453</v>
      </c>
      <c r="N572" s="11">
        <f t="shared" si="119"/>
        <v>9.125</v>
      </c>
      <c r="O572" s="12">
        <f t="shared" si="120"/>
        <v>0.73</v>
      </c>
      <c r="P572" s="12">
        <f t="shared" si="121"/>
        <v>0.33181818181818185</v>
      </c>
      <c r="Q572" s="13">
        <f t="shared" si="122"/>
        <v>12.5</v>
      </c>
      <c r="R572" s="13">
        <f t="shared" si="123"/>
        <v>9.125</v>
      </c>
    </row>
    <row r="573" spans="1:18" ht="15.75" customHeight="1" x14ac:dyDescent="0.3">
      <c r="A573" s="7" t="s">
        <v>241</v>
      </c>
      <c r="B573" s="7" t="s">
        <v>153</v>
      </c>
      <c r="C573" s="24" t="s">
        <v>58</v>
      </c>
      <c r="D573" s="24" t="s">
        <v>61</v>
      </c>
      <c r="E573" s="8">
        <v>46135</v>
      </c>
      <c r="F573" s="8">
        <v>46142</v>
      </c>
      <c r="G573" s="9">
        <v>8</v>
      </c>
      <c r="H573" s="10">
        <v>161</v>
      </c>
      <c r="I573" s="10">
        <v>36</v>
      </c>
      <c r="J573" s="10">
        <v>26</v>
      </c>
      <c r="K573" s="11">
        <f t="shared" si="116"/>
        <v>20.125</v>
      </c>
      <c r="L573" s="11">
        <f t="shared" si="117"/>
        <v>4.5</v>
      </c>
      <c r="M573" s="12">
        <f t="shared" si="118"/>
        <v>0.2236024844720497</v>
      </c>
      <c r="N573" s="11">
        <f t="shared" si="119"/>
        <v>3.25</v>
      </c>
      <c r="O573" s="12">
        <f t="shared" si="120"/>
        <v>0.72222222222222221</v>
      </c>
      <c r="P573" s="12">
        <f t="shared" si="121"/>
        <v>0.16149068322981366</v>
      </c>
      <c r="Q573" s="13">
        <f t="shared" si="122"/>
        <v>4.5</v>
      </c>
      <c r="R573" s="13">
        <f t="shared" si="123"/>
        <v>3.25</v>
      </c>
    </row>
    <row r="574" spans="1:18" ht="15.75" customHeight="1" x14ac:dyDescent="0.3">
      <c r="A574" s="7" t="s">
        <v>241</v>
      </c>
      <c r="B574" s="7" t="s">
        <v>154</v>
      </c>
      <c r="C574" s="24" t="s">
        <v>58</v>
      </c>
      <c r="D574" s="24" t="s">
        <v>107</v>
      </c>
      <c r="E574" s="8">
        <v>46135</v>
      </c>
      <c r="F574" s="8">
        <v>46142</v>
      </c>
      <c r="G574" s="9">
        <v>8</v>
      </c>
      <c r="H574" s="10">
        <v>99</v>
      </c>
      <c r="I574" s="10">
        <v>50</v>
      </c>
      <c r="J574" s="10">
        <v>46</v>
      </c>
      <c r="K574" s="11">
        <f t="shared" si="116"/>
        <v>12.375</v>
      </c>
      <c r="L574" s="11">
        <f t="shared" si="117"/>
        <v>6.25</v>
      </c>
      <c r="M574" s="12">
        <f t="shared" si="118"/>
        <v>0.50505050505050508</v>
      </c>
      <c r="N574" s="11">
        <f t="shared" si="119"/>
        <v>5.75</v>
      </c>
      <c r="O574" s="12">
        <f t="shared" si="120"/>
        <v>0.92</v>
      </c>
      <c r="P574" s="12">
        <f t="shared" si="121"/>
        <v>0.46464646464646464</v>
      </c>
      <c r="Q574" s="13">
        <f t="shared" si="122"/>
        <v>6.25</v>
      </c>
      <c r="R574" s="13">
        <f t="shared" si="123"/>
        <v>5.75</v>
      </c>
    </row>
    <row r="575" spans="1:18" ht="15.75" customHeight="1" x14ac:dyDescent="0.3">
      <c r="A575" s="7" t="s">
        <v>241</v>
      </c>
      <c r="B575" s="7" t="s">
        <v>69</v>
      </c>
      <c r="C575" s="24" t="s">
        <v>58</v>
      </c>
      <c r="D575" s="24" t="s">
        <v>66</v>
      </c>
      <c r="E575" s="8">
        <v>46135</v>
      </c>
      <c r="F575" s="8">
        <v>46142</v>
      </c>
      <c r="G575" s="9">
        <v>8</v>
      </c>
      <c r="H575" s="10">
        <v>133</v>
      </c>
      <c r="I575" s="10">
        <v>43</v>
      </c>
      <c r="J575" s="10">
        <v>25</v>
      </c>
      <c r="K575" s="11">
        <f t="shared" si="116"/>
        <v>16.625</v>
      </c>
      <c r="L575" s="11">
        <f t="shared" si="117"/>
        <v>5.375</v>
      </c>
      <c r="M575" s="12">
        <f t="shared" si="118"/>
        <v>0.32330827067669171</v>
      </c>
      <c r="N575" s="11">
        <f t="shared" si="119"/>
        <v>3.125</v>
      </c>
      <c r="O575" s="12">
        <f t="shared" si="120"/>
        <v>0.58139534883720934</v>
      </c>
      <c r="P575" s="12">
        <f t="shared" si="121"/>
        <v>0.18796992481203006</v>
      </c>
      <c r="Q575" s="13">
        <f t="shared" si="122"/>
        <v>5.375</v>
      </c>
      <c r="R575" s="13">
        <f t="shared" si="123"/>
        <v>3.125</v>
      </c>
    </row>
    <row r="576" spans="1:18" ht="15.75" customHeight="1" x14ac:dyDescent="0.3">
      <c r="A576" s="7" t="s">
        <v>241</v>
      </c>
      <c r="B576" s="7" t="s">
        <v>70</v>
      </c>
      <c r="C576" s="24" t="s">
        <v>58</v>
      </c>
      <c r="D576" s="24" t="s">
        <v>68</v>
      </c>
      <c r="E576" s="8">
        <v>46135</v>
      </c>
      <c r="F576" s="8">
        <v>46142</v>
      </c>
      <c r="G576" s="9">
        <v>8</v>
      </c>
      <c r="H576" s="10">
        <v>36</v>
      </c>
      <c r="I576" s="10">
        <v>20</v>
      </c>
      <c r="J576" s="10">
        <v>18</v>
      </c>
      <c r="K576" s="11">
        <f t="shared" si="116"/>
        <v>4.5</v>
      </c>
      <c r="L576" s="11">
        <f t="shared" si="117"/>
        <v>2.5</v>
      </c>
      <c r="M576" s="12">
        <f t="shared" si="118"/>
        <v>0.55555555555555558</v>
      </c>
      <c r="N576" s="11">
        <f t="shared" si="119"/>
        <v>2.25</v>
      </c>
      <c r="O576" s="12">
        <f t="shared" si="120"/>
        <v>0.9</v>
      </c>
      <c r="P576" s="12">
        <f t="shared" si="121"/>
        <v>0.5</v>
      </c>
      <c r="Q576" s="13">
        <f t="shared" si="122"/>
        <v>2.5</v>
      </c>
      <c r="R576" s="13">
        <f t="shared" si="123"/>
        <v>2.25</v>
      </c>
    </row>
    <row r="577" spans="1:18" ht="15.75" customHeight="1" x14ac:dyDescent="0.3">
      <c r="A577" s="7" t="s">
        <v>241</v>
      </c>
      <c r="B577" s="7" t="s">
        <v>110</v>
      </c>
      <c r="C577" s="24" t="s">
        <v>58</v>
      </c>
      <c r="D577" s="24" t="s">
        <v>66</v>
      </c>
      <c r="E577" s="8">
        <v>46135</v>
      </c>
      <c r="F577" s="8">
        <v>46142</v>
      </c>
      <c r="G577" s="9">
        <v>8</v>
      </c>
      <c r="H577" s="10">
        <v>96</v>
      </c>
      <c r="I577" s="10">
        <v>26</v>
      </c>
      <c r="J577" s="10">
        <v>22</v>
      </c>
      <c r="K577" s="11">
        <f t="shared" si="116"/>
        <v>12</v>
      </c>
      <c r="L577" s="11">
        <f t="shared" si="117"/>
        <v>3.25</v>
      </c>
      <c r="M577" s="12">
        <f t="shared" si="118"/>
        <v>0.27083333333333331</v>
      </c>
      <c r="N577" s="11">
        <f t="shared" si="119"/>
        <v>2.75</v>
      </c>
      <c r="O577" s="12">
        <f t="shared" si="120"/>
        <v>0.84615384615384615</v>
      </c>
      <c r="P577" s="12">
        <f t="shared" si="121"/>
        <v>0.22916666666666666</v>
      </c>
      <c r="Q577" s="13">
        <f t="shared" si="122"/>
        <v>3.25</v>
      </c>
      <c r="R577" s="13">
        <f t="shared" si="123"/>
        <v>2.75</v>
      </c>
    </row>
    <row r="578" spans="1:18" ht="15.75" customHeight="1" x14ac:dyDescent="0.3">
      <c r="A578" s="7" t="s">
        <v>241</v>
      </c>
      <c r="B578" s="7" t="s">
        <v>111</v>
      </c>
      <c r="C578" s="24" t="s">
        <v>58</v>
      </c>
      <c r="D578" s="24" t="s">
        <v>68</v>
      </c>
      <c r="E578" s="8">
        <v>46135</v>
      </c>
      <c r="F578" s="8">
        <v>46142</v>
      </c>
      <c r="G578" s="9">
        <v>8</v>
      </c>
      <c r="H578" s="10">
        <v>20</v>
      </c>
      <c r="I578" s="10">
        <v>10</v>
      </c>
      <c r="J578" s="10">
        <v>10</v>
      </c>
      <c r="K578" s="11">
        <f t="shared" si="116"/>
        <v>2.5</v>
      </c>
      <c r="L578" s="11">
        <f t="shared" si="117"/>
        <v>1.25</v>
      </c>
      <c r="M578" s="12">
        <f t="shared" si="118"/>
        <v>0.5</v>
      </c>
      <c r="N578" s="11">
        <f t="shared" si="119"/>
        <v>1.25</v>
      </c>
      <c r="O578" s="12">
        <f t="shared" si="120"/>
        <v>1</v>
      </c>
      <c r="P578" s="12">
        <f t="shared" si="121"/>
        <v>0.5</v>
      </c>
      <c r="Q578" s="13">
        <f t="shared" si="122"/>
        <v>1.25</v>
      </c>
      <c r="R578" s="13">
        <f t="shared" si="123"/>
        <v>1.25</v>
      </c>
    </row>
    <row r="579" spans="1:18" ht="15.75" customHeight="1" x14ac:dyDescent="0.3">
      <c r="A579" s="7" t="s">
        <v>241</v>
      </c>
      <c r="B579" s="7" t="s">
        <v>198</v>
      </c>
      <c r="C579" s="24" t="s">
        <v>58</v>
      </c>
      <c r="D579" s="24" t="s">
        <v>66</v>
      </c>
      <c r="E579" s="8">
        <v>46135</v>
      </c>
      <c r="F579" s="8">
        <v>46142</v>
      </c>
      <c r="G579" s="9">
        <v>8</v>
      </c>
      <c r="H579" s="10">
        <v>228</v>
      </c>
      <c r="I579" s="10">
        <v>46</v>
      </c>
      <c r="J579" s="10">
        <v>32</v>
      </c>
      <c r="K579" s="11">
        <f t="shared" si="116"/>
        <v>28.5</v>
      </c>
      <c r="L579" s="11">
        <f t="shared" si="117"/>
        <v>5.75</v>
      </c>
      <c r="M579" s="12">
        <f t="shared" si="118"/>
        <v>0.20175438596491227</v>
      </c>
      <c r="N579" s="11">
        <f t="shared" si="119"/>
        <v>4</v>
      </c>
      <c r="O579" s="12">
        <f t="shared" si="120"/>
        <v>0.69565217391304346</v>
      </c>
      <c r="P579" s="12">
        <f t="shared" si="121"/>
        <v>0.14035087719298245</v>
      </c>
      <c r="Q579" s="13">
        <f t="shared" si="122"/>
        <v>5.75</v>
      </c>
      <c r="R579" s="13">
        <f t="shared" si="123"/>
        <v>4</v>
      </c>
    </row>
    <row r="580" spans="1:18" ht="15.75" customHeight="1" x14ac:dyDescent="0.3">
      <c r="A580" s="7" t="s">
        <v>241</v>
      </c>
      <c r="B580" s="7" t="s">
        <v>199</v>
      </c>
      <c r="C580" s="24" t="s">
        <v>58</v>
      </c>
      <c r="D580" s="24" t="s">
        <v>68</v>
      </c>
      <c r="E580" s="8">
        <v>46135</v>
      </c>
      <c r="F580" s="8">
        <v>46142</v>
      </c>
      <c r="G580" s="9">
        <v>8</v>
      </c>
      <c r="H580" s="10">
        <v>48</v>
      </c>
      <c r="I580" s="10">
        <v>17</v>
      </c>
      <c r="J580" s="10">
        <v>13</v>
      </c>
      <c r="K580" s="11">
        <f t="shared" si="116"/>
        <v>6</v>
      </c>
      <c r="L580" s="11">
        <f t="shared" si="117"/>
        <v>2.125</v>
      </c>
      <c r="M580" s="12">
        <f t="shared" si="118"/>
        <v>0.35416666666666669</v>
      </c>
      <c r="N580" s="11">
        <f t="shared" si="119"/>
        <v>1.625</v>
      </c>
      <c r="O580" s="12">
        <f t="shared" si="120"/>
        <v>0.76470588235294112</v>
      </c>
      <c r="P580" s="12">
        <f t="shared" si="121"/>
        <v>0.27083333333333331</v>
      </c>
      <c r="Q580" s="13">
        <f t="shared" si="122"/>
        <v>2.125</v>
      </c>
      <c r="R580" s="13">
        <f t="shared" si="123"/>
        <v>1.625</v>
      </c>
    </row>
    <row r="581" spans="1:18" ht="15.75" customHeight="1" x14ac:dyDescent="0.3">
      <c r="A581" s="7" t="s">
        <v>241</v>
      </c>
      <c r="B581" s="7" t="s">
        <v>138</v>
      </c>
      <c r="C581" s="24" t="s">
        <v>58</v>
      </c>
      <c r="D581" s="24" t="s">
        <v>66</v>
      </c>
      <c r="E581" s="8">
        <v>46135</v>
      </c>
      <c r="F581" s="8">
        <v>46142</v>
      </c>
      <c r="G581" s="9">
        <v>8</v>
      </c>
      <c r="H581" s="10">
        <v>71</v>
      </c>
      <c r="I581" s="10">
        <v>11</v>
      </c>
      <c r="J581" s="10">
        <v>7</v>
      </c>
      <c r="K581" s="11">
        <f t="shared" si="116"/>
        <v>8.875</v>
      </c>
      <c r="L581" s="11">
        <f t="shared" si="117"/>
        <v>1.375</v>
      </c>
      <c r="M581" s="12">
        <f t="shared" si="118"/>
        <v>0.15492957746478872</v>
      </c>
      <c r="N581" s="11">
        <f t="shared" si="119"/>
        <v>0.875</v>
      </c>
      <c r="O581" s="12">
        <f t="shared" si="120"/>
        <v>0.63636363636363635</v>
      </c>
      <c r="P581" s="12">
        <f t="shared" si="121"/>
        <v>9.8591549295774641E-2</v>
      </c>
      <c r="Q581" s="13">
        <f t="shared" si="122"/>
        <v>1.375</v>
      </c>
      <c r="R581" s="13">
        <f t="shared" si="123"/>
        <v>0.87499999999999989</v>
      </c>
    </row>
    <row r="582" spans="1:18" ht="15.75" customHeight="1" x14ac:dyDescent="0.3">
      <c r="A582" s="7" t="s">
        <v>241</v>
      </c>
      <c r="B582" s="7" t="s">
        <v>139</v>
      </c>
      <c r="C582" s="24" t="s">
        <v>58</v>
      </c>
      <c r="D582" s="24" t="s">
        <v>68</v>
      </c>
      <c r="E582" s="8">
        <v>46135</v>
      </c>
      <c r="F582" s="8">
        <v>46142</v>
      </c>
      <c r="G582" s="9">
        <v>8</v>
      </c>
      <c r="H582" s="10">
        <v>69</v>
      </c>
      <c r="I582" s="10">
        <v>30</v>
      </c>
      <c r="J582" s="10">
        <v>23</v>
      </c>
      <c r="K582" s="11">
        <f t="shared" si="116"/>
        <v>8.625</v>
      </c>
      <c r="L582" s="11">
        <f t="shared" si="117"/>
        <v>3.75</v>
      </c>
      <c r="M582" s="12">
        <f t="shared" si="118"/>
        <v>0.43478260869565216</v>
      </c>
      <c r="N582" s="11">
        <f t="shared" si="119"/>
        <v>2.875</v>
      </c>
      <c r="O582" s="12">
        <f t="shared" si="120"/>
        <v>0.76666666666666672</v>
      </c>
      <c r="P582" s="12">
        <f t="shared" si="121"/>
        <v>0.33333333333333331</v>
      </c>
      <c r="Q582" s="13">
        <f t="shared" si="122"/>
        <v>3.75</v>
      </c>
      <c r="R582" s="13">
        <f t="shared" si="123"/>
        <v>2.875</v>
      </c>
    </row>
    <row r="583" spans="1:18" ht="15.75" customHeight="1" x14ac:dyDescent="0.3">
      <c r="A583" s="7" t="s">
        <v>241</v>
      </c>
      <c r="B583" s="7" t="s">
        <v>132</v>
      </c>
      <c r="C583" s="24" t="s">
        <v>58</v>
      </c>
      <c r="D583" s="24" t="s">
        <v>74</v>
      </c>
      <c r="E583" s="8">
        <v>46135</v>
      </c>
      <c r="F583" s="8">
        <v>46142</v>
      </c>
      <c r="G583" s="9">
        <v>8</v>
      </c>
      <c r="H583" s="10">
        <v>73</v>
      </c>
      <c r="I583" s="10">
        <v>22</v>
      </c>
      <c r="J583" s="10">
        <v>19</v>
      </c>
      <c r="K583" s="11">
        <f t="shared" si="116"/>
        <v>9.125</v>
      </c>
      <c r="L583" s="11">
        <f t="shared" si="117"/>
        <v>2.75</v>
      </c>
      <c r="M583" s="12">
        <f t="shared" si="118"/>
        <v>0.30136986301369861</v>
      </c>
      <c r="N583" s="11">
        <f t="shared" si="119"/>
        <v>2.375</v>
      </c>
      <c r="O583" s="12">
        <f t="shared" si="120"/>
        <v>0.86363636363636365</v>
      </c>
      <c r="P583" s="12">
        <f t="shared" si="121"/>
        <v>0.26027397260273971</v>
      </c>
      <c r="Q583" s="13">
        <f t="shared" si="122"/>
        <v>2.75</v>
      </c>
      <c r="R583" s="13">
        <f t="shared" si="123"/>
        <v>2.375</v>
      </c>
    </row>
    <row r="584" spans="1:18" ht="15.75" customHeight="1" x14ac:dyDescent="0.3">
      <c r="A584" s="7" t="s">
        <v>241</v>
      </c>
      <c r="B584" s="7" t="s">
        <v>133</v>
      </c>
      <c r="C584" s="24" t="s">
        <v>58</v>
      </c>
      <c r="D584" s="24" t="s">
        <v>74</v>
      </c>
      <c r="E584" s="8">
        <v>46135</v>
      </c>
      <c r="F584" s="8">
        <v>46142</v>
      </c>
      <c r="G584" s="9">
        <v>8</v>
      </c>
      <c r="H584" s="10">
        <v>149</v>
      </c>
      <c r="I584" s="10">
        <v>47</v>
      </c>
      <c r="J584" s="10">
        <v>31</v>
      </c>
      <c r="K584" s="11">
        <f t="shared" si="116"/>
        <v>18.625</v>
      </c>
      <c r="L584" s="11">
        <f t="shared" si="117"/>
        <v>5.875</v>
      </c>
      <c r="M584" s="12">
        <f t="shared" si="118"/>
        <v>0.31543624161073824</v>
      </c>
      <c r="N584" s="11">
        <f t="shared" si="119"/>
        <v>3.875</v>
      </c>
      <c r="O584" s="12">
        <f t="shared" si="120"/>
        <v>0.65957446808510634</v>
      </c>
      <c r="P584" s="12">
        <f t="shared" si="121"/>
        <v>0.20805369127516779</v>
      </c>
      <c r="Q584" s="13">
        <f t="shared" si="122"/>
        <v>5.875</v>
      </c>
      <c r="R584" s="13">
        <f t="shared" si="123"/>
        <v>3.875</v>
      </c>
    </row>
    <row r="585" spans="1:18" ht="15.75" customHeight="1" x14ac:dyDescent="0.3">
      <c r="A585" s="7" t="s">
        <v>241</v>
      </c>
      <c r="B585" s="7" t="s">
        <v>155</v>
      </c>
      <c r="C585" s="24" t="s">
        <v>58</v>
      </c>
      <c r="D585" s="24" t="s">
        <v>59</v>
      </c>
      <c r="E585" s="8">
        <v>46135</v>
      </c>
      <c r="F585" s="8">
        <v>46142</v>
      </c>
      <c r="G585" s="9">
        <v>8</v>
      </c>
      <c r="H585" s="10">
        <v>37</v>
      </c>
      <c r="I585" s="10">
        <v>13</v>
      </c>
      <c r="J585" s="10">
        <v>10</v>
      </c>
      <c r="K585" s="11">
        <f t="shared" si="116"/>
        <v>4.625</v>
      </c>
      <c r="L585" s="11">
        <f t="shared" si="117"/>
        <v>1.625</v>
      </c>
      <c r="M585" s="12">
        <f t="shared" si="118"/>
        <v>0.35135135135135137</v>
      </c>
      <c r="N585" s="11">
        <f t="shared" si="119"/>
        <v>1.25</v>
      </c>
      <c r="O585" s="12">
        <f t="shared" si="120"/>
        <v>0.76923076923076927</v>
      </c>
      <c r="P585" s="12">
        <f t="shared" si="121"/>
        <v>0.27027027027027029</v>
      </c>
      <c r="Q585" s="13">
        <f t="shared" si="122"/>
        <v>1.625</v>
      </c>
      <c r="R585" s="13">
        <f t="shared" si="123"/>
        <v>1.25</v>
      </c>
    </row>
    <row r="586" spans="1:18" ht="15.75" customHeight="1" x14ac:dyDescent="0.3">
      <c r="A586" s="7" t="s">
        <v>241</v>
      </c>
      <c r="B586" s="7" t="s">
        <v>211</v>
      </c>
      <c r="C586" s="24" t="s">
        <v>58</v>
      </c>
      <c r="D586" s="24" t="s">
        <v>59</v>
      </c>
      <c r="E586" s="8">
        <v>46135</v>
      </c>
      <c r="F586" s="8">
        <v>46142</v>
      </c>
      <c r="G586" s="9">
        <v>8</v>
      </c>
      <c r="H586" s="10">
        <v>30</v>
      </c>
      <c r="I586" s="10">
        <v>9</v>
      </c>
      <c r="J586" s="10">
        <v>6</v>
      </c>
      <c r="K586" s="11">
        <f t="shared" si="116"/>
        <v>3.75</v>
      </c>
      <c r="L586" s="11">
        <f t="shared" si="117"/>
        <v>1.125</v>
      </c>
      <c r="M586" s="12">
        <f t="shared" si="118"/>
        <v>0.3</v>
      </c>
      <c r="N586" s="11">
        <f t="shared" si="119"/>
        <v>0.75</v>
      </c>
      <c r="O586" s="12">
        <f t="shared" si="120"/>
        <v>0.66666666666666663</v>
      </c>
      <c r="P586" s="12">
        <f t="shared" si="121"/>
        <v>0.2</v>
      </c>
      <c r="Q586" s="13">
        <f t="shared" si="122"/>
        <v>1.125</v>
      </c>
      <c r="R586" s="13">
        <f t="shared" si="123"/>
        <v>0.75</v>
      </c>
    </row>
    <row r="587" spans="1:18" ht="15.75" customHeight="1" x14ac:dyDescent="0.3">
      <c r="A587" s="7" t="s">
        <v>245</v>
      </c>
      <c r="B587" s="7" t="s">
        <v>33</v>
      </c>
      <c r="C587" s="24" t="s">
        <v>34</v>
      </c>
      <c r="D587" s="24" t="s">
        <v>35</v>
      </c>
      <c r="E587" s="8">
        <v>46143</v>
      </c>
      <c r="F587" s="8">
        <v>46147</v>
      </c>
      <c r="G587" s="9">
        <v>5</v>
      </c>
      <c r="H587" s="10">
        <v>264</v>
      </c>
      <c r="I587" s="10">
        <v>93</v>
      </c>
      <c r="J587" s="10">
        <v>64</v>
      </c>
      <c r="K587" s="11">
        <f t="shared" si="116"/>
        <v>52.8</v>
      </c>
      <c r="L587" s="11">
        <f t="shared" si="117"/>
        <v>18.600000000000001</v>
      </c>
      <c r="M587" s="12">
        <f t="shared" si="118"/>
        <v>0.35227272727272729</v>
      </c>
      <c r="N587" s="11">
        <f t="shared" si="119"/>
        <v>12.8</v>
      </c>
      <c r="O587" s="12">
        <f t="shared" si="120"/>
        <v>0.68817204301075274</v>
      </c>
      <c r="P587" s="12">
        <f t="shared" si="121"/>
        <v>0.24242424242424243</v>
      </c>
      <c r="Q587" s="13">
        <f t="shared" si="122"/>
        <v>18.600000000000001</v>
      </c>
      <c r="R587" s="13">
        <f t="shared" si="123"/>
        <v>12.799999999999999</v>
      </c>
    </row>
    <row r="588" spans="1:18" ht="15.75" customHeight="1" x14ac:dyDescent="0.3">
      <c r="A588" s="7" t="s">
        <v>245</v>
      </c>
      <c r="B588" s="7" t="s">
        <v>36</v>
      </c>
      <c r="C588" s="24" t="s">
        <v>34</v>
      </c>
      <c r="D588" s="24" t="s">
        <v>35</v>
      </c>
      <c r="E588" s="8">
        <v>46143</v>
      </c>
      <c r="F588" s="8">
        <v>46147</v>
      </c>
      <c r="G588" s="9">
        <v>5</v>
      </c>
      <c r="H588" s="10"/>
      <c r="I588" s="10"/>
      <c r="J588" s="10"/>
      <c r="K588" s="11">
        <f t="shared" si="116"/>
        <v>0</v>
      </c>
      <c r="L588" s="11">
        <f t="shared" si="117"/>
        <v>0</v>
      </c>
      <c r="M588" s="12" t="str">
        <f t="shared" si="118"/>
        <v/>
      </c>
      <c r="N588" s="11">
        <f t="shared" si="119"/>
        <v>0</v>
      </c>
      <c r="O588" s="12" t="str">
        <f t="shared" si="120"/>
        <v/>
      </c>
      <c r="P588" s="12" t="str">
        <f t="shared" si="121"/>
        <v/>
      </c>
    </row>
    <row r="589" spans="1:18" ht="15.75" customHeight="1" x14ac:dyDescent="0.3">
      <c r="A589" s="7" t="s">
        <v>245</v>
      </c>
      <c r="B589" s="7" t="s">
        <v>170</v>
      </c>
      <c r="C589" s="24" t="s">
        <v>34</v>
      </c>
      <c r="D589" s="24" t="s">
        <v>35</v>
      </c>
      <c r="E589" s="8">
        <v>46143</v>
      </c>
      <c r="F589" s="8">
        <v>46147</v>
      </c>
      <c r="G589" s="9">
        <v>5</v>
      </c>
      <c r="H589" s="10">
        <v>444</v>
      </c>
      <c r="I589" s="10">
        <v>135</v>
      </c>
      <c r="J589" s="10">
        <v>53</v>
      </c>
      <c r="K589" s="11">
        <f t="shared" si="116"/>
        <v>88.8</v>
      </c>
      <c r="L589" s="11">
        <f t="shared" si="117"/>
        <v>27</v>
      </c>
      <c r="M589" s="12">
        <f t="shared" si="118"/>
        <v>0.30405405405405406</v>
      </c>
      <c r="N589" s="11">
        <f t="shared" si="119"/>
        <v>10.6</v>
      </c>
      <c r="O589" s="12">
        <f t="shared" si="120"/>
        <v>0.3925925925925926</v>
      </c>
      <c r="P589" s="12">
        <f t="shared" si="121"/>
        <v>0.11936936936936937</v>
      </c>
      <c r="Q589" s="13">
        <f>IFERROR((I589/H589)*K589,"")</f>
        <v>27</v>
      </c>
      <c r="R589" s="13">
        <f>IFERROR((J589/H589)*K589,"")</f>
        <v>10.6</v>
      </c>
    </row>
    <row r="590" spans="1:18" ht="15.75" customHeight="1" x14ac:dyDescent="0.3">
      <c r="A590" s="7" t="s">
        <v>245</v>
      </c>
      <c r="B590" s="7" t="s">
        <v>246</v>
      </c>
      <c r="C590" s="24" t="s">
        <v>34</v>
      </c>
      <c r="D590" s="24" t="s">
        <v>91</v>
      </c>
      <c r="E590" s="8">
        <v>46143</v>
      </c>
      <c r="F590" s="8">
        <v>46147</v>
      </c>
      <c r="G590" s="9">
        <v>5</v>
      </c>
      <c r="H590" s="10"/>
      <c r="I590" s="10"/>
      <c r="J590" s="10"/>
      <c r="K590" s="11">
        <f t="shared" si="116"/>
        <v>0</v>
      </c>
      <c r="L590" s="11">
        <f t="shared" si="117"/>
        <v>0</v>
      </c>
      <c r="M590" s="12" t="str">
        <f t="shared" si="118"/>
        <v/>
      </c>
      <c r="N590" s="11">
        <f t="shared" si="119"/>
        <v>0</v>
      </c>
      <c r="O590" s="12" t="str">
        <f t="shared" si="120"/>
        <v/>
      </c>
      <c r="P590" s="12" t="str">
        <f t="shared" si="121"/>
        <v/>
      </c>
    </row>
    <row r="591" spans="1:18" ht="15.75" customHeight="1" x14ac:dyDescent="0.3">
      <c r="A591" s="7" t="s">
        <v>245</v>
      </c>
      <c r="B591" s="7" t="s">
        <v>38</v>
      </c>
      <c r="C591" s="24" t="s">
        <v>34</v>
      </c>
      <c r="D591" s="24" t="s">
        <v>39</v>
      </c>
      <c r="E591" s="8">
        <v>46143</v>
      </c>
      <c r="F591" s="8">
        <v>46147</v>
      </c>
      <c r="G591" s="9">
        <v>5</v>
      </c>
      <c r="H591" s="10">
        <v>232</v>
      </c>
      <c r="I591" s="10">
        <v>24</v>
      </c>
      <c r="J591" s="10">
        <v>15</v>
      </c>
      <c r="K591" s="11">
        <f t="shared" si="116"/>
        <v>46.4</v>
      </c>
      <c r="L591" s="11">
        <f t="shared" si="117"/>
        <v>4.8</v>
      </c>
      <c r="M591" s="12">
        <f t="shared" si="118"/>
        <v>0.10344827586206896</v>
      </c>
      <c r="N591" s="11">
        <f t="shared" si="119"/>
        <v>3</v>
      </c>
      <c r="O591" s="12">
        <f t="shared" si="120"/>
        <v>0.625</v>
      </c>
      <c r="P591" s="12">
        <f t="shared" si="121"/>
        <v>6.4655172413793108E-2</v>
      </c>
      <c r="Q591" s="13">
        <f t="shared" ref="Q591:Q602" si="124">IFERROR((I591/H591)*K591,"")</f>
        <v>4.8</v>
      </c>
      <c r="R591" s="13">
        <f t="shared" ref="R591:R602" si="125">IFERROR((J591/H591)*K591,"")</f>
        <v>3</v>
      </c>
    </row>
    <row r="592" spans="1:18" ht="15.75" customHeight="1" x14ac:dyDescent="0.3">
      <c r="A592" s="7" t="s">
        <v>245</v>
      </c>
      <c r="B592" s="7" t="s">
        <v>40</v>
      </c>
      <c r="C592" s="24" t="s">
        <v>34</v>
      </c>
      <c r="D592" s="24" t="s">
        <v>39</v>
      </c>
      <c r="E592" s="8">
        <v>46143</v>
      </c>
      <c r="F592" s="8">
        <v>46147</v>
      </c>
      <c r="G592" s="9">
        <v>5</v>
      </c>
      <c r="H592" s="10">
        <v>3</v>
      </c>
      <c r="I592" s="10">
        <v>0</v>
      </c>
      <c r="J592" s="10">
        <v>0</v>
      </c>
      <c r="K592" s="11">
        <f t="shared" si="116"/>
        <v>0.6</v>
      </c>
      <c r="L592" s="11">
        <f t="shared" si="117"/>
        <v>0</v>
      </c>
      <c r="M592" s="12">
        <f t="shared" si="118"/>
        <v>0</v>
      </c>
      <c r="N592" s="11">
        <f t="shared" si="119"/>
        <v>0</v>
      </c>
      <c r="O592" s="12" t="str">
        <f t="shared" si="120"/>
        <v/>
      </c>
      <c r="P592" s="12">
        <f t="shared" si="121"/>
        <v>0</v>
      </c>
      <c r="Q592" s="13">
        <f t="shared" si="124"/>
        <v>0</v>
      </c>
      <c r="R592" s="13">
        <f t="shared" si="125"/>
        <v>0</v>
      </c>
    </row>
    <row r="593" spans="1:18" ht="15.75" customHeight="1" x14ac:dyDescent="0.3">
      <c r="A593" s="7" t="s">
        <v>245</v>
      </c>
      <c r="B593" s="7" t="s">
        <v>117</v>
      </c>
      <c r="C593" s="24" t="s">
        <v>47</v>
      </c>
      <c r="D593" s="24" t="s">
        <v>48</v>
      </c>
      <c r="E593" s="8">
        <v>46143</v>
      </c>
      <c r="F593" s="8">
        <v>46147</v>
      </c>
      <c r="G593" s="9">
        <v>5</v>
      </c>
      <c r="H593" s="10">
        <v>1658</v>
      </c>
      <c r="I593" s="10">
        <v>615</v>
      </c>
      <c r="J593" s="10">
        <v>436</v>
      </c>
      <c r="K593" s="11">
        <f t="shared" si="116"/>
        <v>331.6</v>
      </c>
      <c r="L593" s="11">
        <f t="shared" si="117"/>
        <v>123</v>
      </c>
      <c r="M593" s="12">
        <f t="shared" si="118"/>
        <v>0.37092882991556092</v>
      </c>
      <c r="N593" s="11">
        <f t="shared" si="119"/>
        <v>87.2</v>
      </c>
      <c r="O593" s="12">
        <f t="shared" si="120"/>
        <v>0.70894308943089435</v>
      </c>
      <c r="P593" s="12">
        <f t="shared" si="121"/>
        <v>0.26296743063932448</v>
      </c>
      <c r="Q593" s="13">
        <f t="shared" si="124"/>
        <v>123.00000000000001</v>
      </c>
      <c r="R593" s="13">
        <f t="shared" si="125"/>
        <v>87.2</v>
      </c>
    </row>
    <row r="594" spans="1:18" ht="15.75" customHeight="1" x14ac:dyDescent="0.3">
      <c r="A594" s="7" t="s">
        <v>245</v>
      </c>
      <c r="B594" s="7" t="s">
        <v>118</v>
      </c>
      <c r="C594" s="24" t="s">
        <v>47</v>
      </c>
      <c r="D594" s="24" t="s">
        <v>48</v>
      </c>
      <c r="E594" s="8">
        <v>46143</v>
      </c>
      <c r="F594" s="8">
        <v>46147</v>
      </c>
      <c r="G594" s="9">
        <v>5</v>
      </c>
      <c r="H594" s="10">
        <v>51</v>
      </c>
      <c r="I594" s="10">
        <v>17</v>
      </c>
      <c r="J594" s="10">
        <v>13</v>
      </c>
      <c r="K594" s="11">
        <f t="shared" si="116"/>
        <v>10.199999999999999</v>
      </c>
      <c r="L594" s="11">
        <f t="shared" si="117"/>
        <v>3.4</v>
      </c>
      <c r="M594" s="12">
        <f t="shared" si="118"/>
        <v>0.33333333333333331</v>
      </c>
      <c r="N594" s="11">
        <f t="shared" si="119"/>
        <v>2.6</v>
      </c>
      <c r="O594" s="12">
        <f t="shared" si="120"/>
        <v>0.76470588235294112</v>
      </c>
      <c r="P594" s="12">
        <f t="shared" si="121"/>
        <v>0.25490196078431371</v>
      </c>
      <c r="Q594" s="13">
        <f t="shared" si="124"/>
        <v>3.3999999999999995</v>
      </c>
      <c r="R594" s="13">
        <f t="shared" si="125"/>
        <v>2.5999999999999996</v>
      </c>
    </row>
    <row r="595" spans="1:18" ht="15.75" customHeight="1" x14ac:dyDescent="0.3">
      <c r="A595" s="7" t="s">
        <v>245</v>
      </c>
      <c r="B595" s="7" t="s">
        <v>247</v>
      </c>
      <c r="C595" s="24" t="s">
        <v>47</v>
      </c>
      <c r="D595" s="24" t="s">
        <v>48</v>
      </c>
      <c r="E595" s="8">
        <v>46143</v>
      </c>
      <c r="F595" s="8">
        <v>46147</v>
      </c>
      <c r="G595" s="9">
        <v>5</v>
      </c>
      <c r="H595" s="10">
        <v>121</v>
      </c>
      <c r="I595" s="10">
        <v>57</v>
      </c>
      <c r="J595" s="10">
        <v>42</v>
      </c>
      <c r="K595" s="11">
        <f t="shared" si="116"/>
        <v>24.2</v>
      </c>
      <c r="L595" s="11">
        <f t="shared" si="117"/>
        <v>11.4</v>
      </c>
      <c r="M595" s="12">
        <f t="shared" si="118"/>
        <v>0.47107438016528924</v>
      </c>
      <c r="N595" s="11">
        <f t="shared" si="119"/>
        <v>8.4</v>
      </c>
      <c r="O595" s="12">
        <f t="shared" si="120"/>
        <v>0.73684210526315785</v>
      </c>
      <c r="P595" s="12">
        <f t="shared" si="121"/>
        <v>0.34710743801652894</v>
      </c>
      <c r="Q595" s="13">
        <f t="shared" si="124"/>
        <v>11.399999999999999</v>
      </c>
      <c r="R595" s="13">
        <f t="shared" si="125"/>
        <v>8.4</v>
      </c>
    </row>
    <row r="596" spans="1:18" ht="15.75" customHeight="1" x14ac:dyDescent="0.3">
      <c r="A596" s="7" t="s">
        <v>245</v>
      </c>
      <c r="B596" s="7" t="s">
        <v>248</v>
      </c>
      <c r="C596" s="24" t="s">
        <v>47</v>
      </c>
      <c r="D596" s="24" t="s">
        <v>48</v>
      </c>
      <c r="E596" s="8">
        <v>46143</v>
      </c>
      <c r="F596" s="8">
        <v>46147</v>
      </c>
      <c r="G596" s="9">
        <v>5</v>
      </c>
      <c r="H596" s="10">
        <v>119</v>
      </c>
      <c r="I596" s="10">
        <v>57</v>
      </c>
      <c r="J596" s="10">
        <v>48</v>
      </c>
      <c r="K596" s="11">
        <f t="shared" si="116"/>
        <v>23.8</v>
      </c>
      <c r="L596" s="11">
        <f t="shared" si="117"/>
        <v>11.4</v>
      </c>
      <c r="M596" s="12">
        <f t="shared" si="118"/>
        <v>0.47899159663865548</v>
      </c>
      <c r="N596" s="11">
        <f t="shared" si="119"/>
        <v>9.6</v>
      </c>
      <c r="O596" s="12">
        <f t="shared" si="120"/>
        <v>0.84210526315789469</v>
      </c>
      <c r="P596" s="12">
        <f t="shared" si="121"/>
        <v>0.40336134453781514</v>
      </c>
      <c r="Q596" s="13">
        <f t="shared" si="124"/>
        <v>11.4</v>
      </c>
      <c r="R596" s="13">
        <f t="shared" si="125"/>
        <v>9.6</v>
      </c>
    </row>
    <row r="597" spans="1:18" ht="15.75" customHeight="1" x14ac:dyDescent="0.3">
      <c r="A597" s="7" t="s">
        <v>245</v>
      </c>
      <c r="B597" s="7" t="s">
        <v>249</v>
      </c>
      <c r="C597" s="24" t="s">
        <v>47</v>
      </c>
      <c r="D597" s="24" t="s">
        <v>48</v>
      </c>
      <c r="E597" s="8">
        <v>46143</v>
      </c>
      <c r="F597" s="8">
        <v>46147</v>
      </c>
      <c r="G597" s="9">
        <v>5</v>
      </c>
      <c r="H597" s="10">
        <v>202</v>
      </c>
      <c r="I597" s="10">
        <v>71</v>
      </c>
      <c r="J597" s="10">
        <v>42</v>
      </c>
      <c r="K597" s="11">
        <f t="shared" si="116"/>
        <v>40.4</v>
      </c>
      <c r="L597" s="11">
        <f t="shared" si="117"/>
        <v>14.2</v>
      </c>
      <c r="M597" s="12">
        <f t="shared" si="118"/>
        <v>0.35148514851485146</v>
      </c>
      <c r="N597" s="11">
        <f t="shared" si="119"/>
        <v>8.4</v>
      </c>
      <c r="O597" s="12">
        <f t="shared" si="120"/>
        <v>0.59154929577464788</v>
      </c>
      <c r="P597" s="12">
        <f t="shared" si="121"/>
        <v>0.20792079207920791</v>
      </c>
      <c r="Q597" s="13">
        <f t="shared" si="124"/>
        <v>14.2</v>
      </c>
      <c r="R597" s="13">
        <f t="shared" si="125"/>
        <v>8.3999999999999986</v>
      </c>
    </row>
    <row r="598" spans="1:18" ht="15.75" customHeight="1" x14ac:dyDescent="0.3">
      <c r="A598" s="7" t="s">
        <v>245</v>
      </c>
      <c r="B598" s="7" t="s">
        <v>214</v>
      </c>
      <c r="C598" s="24" t="s">
        <v>47</v>
      </c>
      <c r="D598" s="24" t="s">
        <v>53</v>
      </c>
      <c r="E598" s="8">
        <v>46143</v>
      </c>
      <c r="F598" s="8">
        <v>46147</v>
      </c>
      <c r="G598" s="9">
        <v>5</v>
      </c>
      <c r="H598" s="10">
        <v>95</v>
      </c>
      <c r="I598" s="10">
        <v>29</v>
      </c>
      <c r="J598" s="10">
        <v>20</v>
      </c>
      <c r="K598" s="11">
        <f t="shared" si="116"/>
        <v>19</v>
      </c>
      <c r="L598" s="11">
        <f t="shared" si="117"/>
        <v>5.8</v>
      </c>
      <c r="M598" s="12">
        <f t="shared" si="118"/>
        <v>0.30526315789473685</v>
      </c>
      <c r="N598" s="11">
        <f t="shared" si="119"/>
        <v>4</v>
      </c>
      <c r="O598" s="12">
        <f t="shared" si="120"/>
        <v>0.68965517241379315</v>
      </c>
      <c r="P598" s="12">
        <f t="shared" si="121"/>
        <v>0.21052631578947367</v>
      </c>
      <c r="Q598" s="13">
        <f t="shared" si="124"/>
        <v>5.8</v>
      </c>
      <c r="R598" s="13">
        <f t="shared" si="125"/>
        <v>4</v>
      </c>
    </row>
    <row r="599" spans="1:18" ht="15.75" customHeight="1" x14ac:dyDescent="0.3">
      <c r="A599" s="7" t="s">
        <v>245</v>
      </c>
      <c r="B599" s="7" t="s">
        <v>250</v>
      </c>
      <c r="C599" s="24" t="s">
        <v>47</v>
      </c>
      <c r="D599" s="24" t="s">
        <v>56</v>
      </c>
      <c r="E599" s="8">
        <v>46143</v>
      </c>
      <c r="F599" s="8">
        <v>46147</v>
      </c>
      <c r="G599" s="9">
        <v>5</v>
      </c>
      <c r="H599" s="10">
        <v>31</v>
      </c>
      <c r="I599" s="10">
        <v>12</v>
      </c>
      <c r="J599" s="10">
        <v>9</v>
      </c>
      <c r="K599" s="11">
        <f t="shared" si="116"/>
        <v>6.2</v>
      </c>
      <c r="L599" s="11">
        <f t="shared" si="117"/>
        <v>2.4</v>
      </c>
      <c r="M599" s="12">
        <f t="shared" si="118"/>
        <v>0.38709677419354838</v>
      </c>
      <c r="N599" s="11">
        <f t="shared" si="119"/>
        <v>1.8</v>
      </c>
      <c r="O599" s="12">
        <f t="shared" si="120"/>
        <v>0.75</v>
      </c>
      <c r="P599" s="12">
        <f t="shared" si="121"/>
        <v>0.29032258064516131</v>
      </c>
      <c r="Q599" s="13">
        <f t="shared" si="124"/>
        <v>2.4</v>
      </c>
      <c r="R599" s="13">
        <f t="shared" si="125"/>
        <v>1.8000000000000003</v>
      </c>
    </row>
    <row r="600" spans="1:18" ht="15.75" customHeight="1" x14ac:dyDescent="0.3">
      <c r="A600" s="7" t="s">
        <v>245</v>
      </c>
      <c r="B600" s="7" t="s">
        <v>251</v>
      </c>
      <c r="C600" s="24" t="s">
        <v>47</v>
      </c>
      <c r="D600" s="24" t="s">
        <v>56</v>
      </c>
      <c r="E600" s="8">
        <v>46143</v>
      </c>
      <c r="F600" s="8">
        <v>46147</v>
      </c>
      <c r="G600" s="9">
        <v>5</v>
      </c>
      <c r="H600" s="10">
        <v>112</v>
      </c>
      <c r="I600" s="10">
        <v>44</v>
      </c>
      <c r="J600" s="10">
        <v>31</v>
      </c>
      <c r="K600" s="11">
        <f t="shared" si="116"/>
        <v>22.4</v>
      </c>
      <c r="L600" s="11">
        <f t="shared" si="117"/>
        <v>8.8000000000000007</v>
      </c>
      <c r="M600" s="12">
        <f t="shared" si="118"/>
        <v>0.39285714285714285</v>
      </c>
      <c r="N600" s="11">
        <f t="shared" si="119"/>
        <v>6.2</v>
      </c>
      <c r="O600" s="12">
        <f t="shared" si="120"/>
        <v>0.70454545454545459</v>
      </c>
      <c r="P600" s="12">
        <f t="shared" si="121"/>
        <v>0.2767857142857143</v>
      </c>
      <c r="Q600" s="13">
        <f t="shared" si="124"/>
        <v>8.7999999999999989</v>
      </c>
      <c r="R600" s="13">
        <f t="shared" si="125"/>
        <v>6.2</v>
      </c>
    </row>
    <row r="601" spans="1:18" ht="15.75" customHeight="1" x14ac:dyDescent="0.3">
      <c r="A601" s="7" t="s">
        <v>245</v>
      </c>
      <c r="B601" s="7" t="s">
        <v>252</v>
      </c>
      <c r="C601" s="24" t="s">
        <v>47</v>
      </c>
      <c r="D601" s="24" t="s">
        <v>253</v>
      </c>
      <c r="E601" s="8">
        <v>46143</v>
      </c>
      <c r="F601" s="8">
        <v>46147</v>
      </c>
      <c r="G601" s="9">
        <v>5</v>
      </c>
      <c r="H601" s="10">
        <v>71</v>
      </c>
      <c r="I601" s="10">
        <v>32</v>
      </c>
      <c r="J601" s="10">
        <v>28</v>
      </c>
      <c r="K601" s="11">
        <f t="shared" si="116"/>
        <v>14.2</v>
      </c>
      <c r="L601" s="11">
        <f t="shared" si="117"/>
        <v>6.4</v>
      </c>
      <c r="M601" s="12">
        <f t="shared" si="118"/>
        <v>0.45070422535211269</v>
      </c>
      <c r="N601" s="11">
        <f t="shared" si="119"/>
        <v>5.6</v>
      </c>
      <c r="O601" s="12">
        <f t="shared" si="120"/>
        <v>0.875</v>
      </c>
      <c r="P601" s="12">
        <f t="shared" si="121"/>
        <v>0.39436619718309857</v>
      </c>
      <c r="Q601" s="13">
        <f t="shared" si="124"/>
        <v>6.3999999999999995</v>
      </c>
      <c r="R601" s="13">
        <f t="shared" si="125"/>
        <v>5.6</v>
      </c>
    </row>
    <row r="602" spans="1:18" ht="15.75" customHeight="1" x14ac:dyDescent="0.3">
      <c r="A602" s="7" t="s">
        <v>245</v>
      </c>
      <c r="B602" s="7" t="s">
        <v>176</v>
      </c>
      <c r="C602" s="24" t="s">
        <v>58</v>
      </c>
      <c r="D602" s="24" t="s">
        <v>61</v>
      </c>
      <c r="E602" s="8">
        <v>46143</v>
      </c>
      <c r="F602" s="8">
        <v>46147</v>
      </c>
      <c r="G602" s="9">
        <v>5</v>
      </c>
      <c r="H602" s="10">
        <v>540</v>
      </c>
      <c r="I602" s="10">
        <v>184</v>
      </c>
      <c r="J602" s="10">
        <v>132</v>
      </c>
      <c r="K602" s="11">
        <f t="shared" si="116"/>
        <v>108</v>
      </c>
      <c r="L602" s="11">
        <f t="shared" si="117"/>
        <v>36.799999999999997</v>
      </c>
      <c r="M602" s="12">
        <f t="shared" si="118"/>
        <v>0.34074074074074073</v>
      </c>
      <c r="N602" s="11">
        <f t="shared" si="119"/>
        <v>26.4</v>
      </c>
      <c r="O602" s="12">
        <f t="shared" si="120"/>
        <v>0.71739130434782605</v>
      </c>
      <c r="P602" s="12">
        <f t="shared" si="121"/>
        <v>0.24444444444444444</v>
      </c>
      <c r="Q602" s="13">
        <f t="shared" si="124"/>
        <v>36.799999999999997</v>
      </c>
      <c r="R602" s="13">
        <f t="shared" si="125"/>
        <v>26.4</v>
      </c>
    </row>
    <row r="603" spans="1:18" ht="15.75" customHeight="1" x14ac:dyDescent="0.3">
      <c r="A603" s="7" t="s">
        <v>245</v>
      </c>
      <c r="B603" s="7" t="s">
        <v>177</v>
      </c>
      <c r="C603" s="24" t="s">
        <v>58</v>
      </c>
      <c r="D603" s="24" t="s">
        <v>61</v>
      </c>
      <c r="E603" s="8">
        <v>46143</v>
      </c>
      <c r="F603" s="8">
        <v>46147</v>
      </c>
      <c r="G603" s="9">
        <v>5</v>
      </c>
      <c r="H603" s="10"/>
      <c r="I603" s="10"/>
      <c r="J603" s="10"/>
      <c r="K603" s="11">
        <f t="shared" si="116"/>
        <v>0</v>
      </c>
      <c r="L603" s="11">
        <f t="shared" si="117"/>
        <v>0</v>
      </c>
      <c r="M603" s="12" t="str">
        <f t="shared" si="118"/>
        <v/>
      </c>
      <c r="N603" s="11">
        <f t="shared" si="119"/>
        <v>0</v>
      </c>
      <c r="O603" s="12" t="str">
        <f t="shared" si="120"/>
        <v/>
      </c>
      <c r="P603" s="12" t="str">
        <f t="shared" si="121"/>
        <v/>
      </c>
    </row>
    <row r="604" spans="1:18" ht="15.75" customHeight="1" x14ac:dyDescent="0.3">
      <c r="A604" s="7" t="s">
        <v>245</v>
      </c>
      <c r="B604" s="7" t="s">
        <v>87</v>
      </c>
      <c r="C604" s="24" t="s">
        <v>58</v>
      </c>
      <c r="D604" s="24" t="s">
        <v>64</v>
      </c>
      <c r="E604" s="8">
        <v>46143</v>
      </c>
      <c r="F604" s="8">
        <v>46147</v>
      </c>
      <c r="G604" s="9">
        <v>5</v>
      </c>
      <c r="H604" s="10">
        <v>15</v>
      </c>
      <c r="I604" s="10">
        <v>11</v>
      </c>
      <c r="J604" s="10">
        <v>9</v>
      </c>
      <c r="K604" s="11">
        <f t="shared" si="116"/>
        <v>3</v>
      </c>
      <c r="L604" s="11">
        <f t="shared" si="117"/>
        <v>2.2000000000000002</v>
      </c>
      <c r="M604" s="12">
        <f t="shared" si="118"/>
        <v>0.73333333333333328</v>
      </c>
      <c r="N604" s="11">
        <f t="shared" si="119"/>
        <v>1.8</v>
      </c>
      <c r="O604" s="12">
        <f t="shared" si="120"/>
        <v>0.81818181818181823</v>
      </c>
      <c r="P604" s="12">
        <f t="shared" si="121"/>
        <v>0.6</v>
      </c>
      <c r="Q604" s="13">
        <f t="shared" ref="Q604:Q617" si="126">IFERROR((I604/H604)*K604,"")</f>
        <v>2.1999999999999997</v>
      </c>
      <c r="R604" s="13">
        <f t="shared" ref="R604:R617" si="127">IFERROR((J604/H604)*K604,"")</f>
        <v>1.7999999999999998</v>
      </c>
    </row>
    <row r="605" spans="1:18" ht="15.75" customHeight="1" x14ac:dyDescent="0.3">
      <c r="A605" s="7" t="s">
        <v>245</v>
      </c>
      <c r="B605" s="7" t="s">
        <v>223</v>
      </c>
      <c r="C605" s="24" t="s">
        <v>58</v>
      </c>
      <c r="D605" s="24" t="s">
        <v>64</v>
      </c>
      <c r="E605" s="8">
        <v>46143</v>
      </c>
      <c r="F605" s="8">
        <v>46147</v>
      </c>
      <c r="G605" s="9">
        <v>5</v>
      </c>
      <c r="H605" s="10">
        <v>81</v>
      </c>
      <c r="I605" s="10">
        <v>38</v>
      </c>
      <c r="J605" s="10">
        <v>28</v>
      </c>
      <c r="K605" s="11">
        <f t="shared" si="116"/>
        <v>16.2</v>
      </c>
      <c r="L605" s="11">
        <f t="shared" si="117"/>
        <v>7.6</v>
      </c>
      <c r="M605" s="12">
        <f t="shared" si="118"/>
        <v>0.46913580246913578</v>
      </c>
      <c r="N605" s="11">
        <f t="shared" si="119"/>
        <v>5.6</v>
      </c>
      <c r="O605" s="12">
        <f t="shared" si="120"/>
        <v>0.73684210526315785</v>
      </c>
      <c r="P605" s="12">
        <f t="shared" si="121"/>
        <v>0.34567901234567899</v>
      </c>
      <c r="Q605" s="13">
        <f t="shared" si="126"/>
        <v>7.6</v>
      </c>
      <c r="R605" s="13">
        <f t="shared" si="127"/>
        <v>5.6</v>
      </c>
    </row>
    <row r="606" spans="1:18" ht="15.75" customHeight="1" x14ac:dyDescent="0.3">
      <c r="A606" s="7" t="s">
        <v>245</v>
      </c>
      <c r="B606" s="7" t="s">
        <v>108</v>
      </c>
      <c r="C606" s="24" t="s">
        <v>58</v>
      </c>
      <c r="D606" s="24" t="s">
        <v>66</v>
      </c>
      <c r="E606" s="8">
        <v>46143</v>
      </c>
      <c r="F606" s="8">
        <v>46147</v>
      </c>
      <c r="G606" s="9">
        <v>5</v>
      </c>
      <c r="H606" s="10">
        <v>398</v>
      </c>
      <c r="I606" s="10">
        <v>115</v>
      </c>
      <c r="J606" s="10">
        <v>67</v>
      </c>
      <c r="K606" s="11">
        <f t="shared" si="116"/>
        <v>79.599999999999994</v>
      </c>
      <c r="L606" s="11">
        <f t="shared" si="117"/>
        <v>23</v>
      </c>
      <c r="M606" s="12">
        <f t="shared" si="118"/>
        <v>0.28894472361809043</v>
      </c>
      <c r="N606" s="11">
        <f t="shared" si="119"/>
        <v>13.4</v>
      </c>
      <c r="O606" s="12">
        <f t="shared" si="120"/>
        <v>0.58260869565217388</v>
      </c>
      <c r="P606" s="12">
        <f t="shared" si="121"/>
        <v>0.16834170854271358</v>
      </c>
      <c r="Q606" s="13">
        <f t="shared" si="126"/>
        <v>22.999999999999996</v>
      </c>
      <c r="R606" s="13">
        <f t="shared" si="127"/>
        <v>13.4</v>
      </c>
    </row>
    <row r="607" spans="1:18" ht="15.75" customHeight="1" x14ac:dyDescent="0.3">
      <c r="A607" s="7" t="s">
        <v>245</v>
      </c>
      <c r="B607" s="7" t="s">
        <v>109</v>
      </c>
      <c r="C607" s="24" t="s">
        <v>58</v>
      </c>
      <c r="D607" s="24" t="s">
        <v>68</v>
      </c>
      <c r="E607" s="8">
        <v>46143</v>
      </c>
      <c r="F607" s="8">
        <v>46147</v>
      </c>
      <c r="G607" s="9">
        <v>5</v>
      </c>
      <c r="H607" s="10">
        <v>57</v>
      </c>
      <c r="I607" s="10">
        <v>22</v>
      </c>
      <c r="J607" s="10">
        <v>13</v>
      </c>
      <c r="K607" s="11">
        <f t="shared" si="116"/>
        <v>11.4</v>
      </c>
      <c r="L607" s="11">
        <f t="shared" si="117"/>
        <v>4.4000000000000004</v>
      </c>
      <c r="M607" s="12">
        <f t="shared" si="118"/>
        <v>0.38596491228070173</v>
      </c>
      <c r="N607" s="11">
        <f t="shared" si="119"/>
        <v>2.6</v>
      </c>
      <c r="O607" s="12">
        <f t="shared" si="120"/>
        <v>0.59090909090909094</v>
      </c>
      <c r="P607" s="12">
        <f t="shared" si="121"/>
        <v>0.22807017543859648</v>
      </c>
      <c r="Q607" s="13">
        <f t="shared" si="126"/>
        <v>4.3999999999999995</v>
      </c>
      <c r="R607" s="13">
        <f t="shared" si="127"/>
        <v>2.6</v>
      </c>
    </row>
    <row r="608" spans="1:18" ht="15.75" customHeight="1" x14ac:dyDescent="0.3">
      <c r="A608" s="7" t="s">
        <v>245</v>
      </c>
      <c r="B608" s="7" t="s">
        <v>238</v>
      </c>
      <c r="C608" s="24" t="s">
        <v>58</v>
      </c>
      <c r="D608" s="24" t="s">
        <v>66</v>
      </c>
      <c r="E608" s="8">
        <v>46143</v>
      </c>
      <c r="F608" s="8">
        <v>46147</v>
      </c>
      <c r="G608" s="9">
        <v>5</v>
      </c>
      <c r="H608" s="10">
        <v>53</v>
      </c>
      <c r="I608" s="10">
        <v>14</v>
      </c>
      <c r="J608" s="10">
        <v>8</v>
      </c>
      <c r="K608" s="11">
        <f t="shared" si="116"/>
        <v>10.6</v>
      </c>
      <c r="L608" s="11">
        <f t="shared" si="117"/>
        <v>2.8</v>
      </c>
      <c r="M608" s="12">
        <f t="shared" si="118"/>
        <v>0.26415094339622641</v>
      </c>
      <c r="N608" s="11">
        <f t="shared" si="119"/>
        <v>1.6</v>
      </c>
      <c r="O608" s="12">
        <f t="shared" si="120"/>
        <v>0.5714285714285714</v>
      </c>
      <c r="P608" s="12">
        <f t="shared" si="121"/>
        <v>0.15094339622641509</v>
      </c>
      <c r="Q608" s="13">
        <f t="shared" si="126"/>
        <v>2.8</v>
      </c>
      <c r="R608" s="13">
        <f t="shared" si="127"/>
        <v>1.5999999999999999</v>
      </c>
    </row>
    <row r="609" spans="1:18" ht="15.75" customHeight="1" x14ac:dyDescent="0.3">
      <c r="A609" s="7" t="s">
        <v>245</v>
      </c>
      <c r="B609" s="7" t="s">
        <v>131</v>
      </c>
      <c r="C609" s="24" t="s">
        <v>58</v>
      </c>
      <c r="D609" s="24" t="s">
        <v>74</v>
      </c>
      <c r="E609" s="8">
        <v>46143</v>
      </c>
      <c r="F609" s="8">
        <v>46147</v>
      </c>
      <c r="G609" s="9">
        <v>5</v>
      </c>
      <c r="H609" s="10">
        <v>113</v>
      </c>
      <c r="I609" s="10">
        <v>39</v>
      </c>
      <c r="J609" s="10">
        <v>23</v>
      </c>
      <c r="K609" s="11">
        <f t="shared" si="116"/>
        <v>22.6</v>
      </c>
      <c r="L609" s="11">
        <f t="shared" si="117"/>
        <v>7.8</v>
      </c>
      <c r="M609" s="12">
        <f t="shared" si="118"/>
        <v>0.34513274336283184</v>
      </c>
      <c r="N609" s="11">
        <f t="shared" si="119"/>
        <v>4.5999999999999996</v>
      </c>
      <c r="O609" s="12">
        <f t="shared" si="120"/>
        <v>0.58974358974358976</v>
      </c>
      <c r="P609" s="12">
        <f t="shared" si="121"/>
        <v>0.20353982300884957</v>
      </c>
      <c r="Q609" s="13">
        <f t="shared" si="126"/>
        <v>7.8</v>
      </c>
      <c r="R609" s="13">
        <f t="shared" si="127"/>
        <v>4.6000000000000005</v>
      </c>
    </row>
    <row r="610" spans="1:18" ht="15.75" customHeight="1" x14ac:dyDescent="0.3">
      <c r="A610" s="7" t="s">
        <v>245</v>
      </c>
      <c r="B610" s="7" t="s">
        <v>180</v>
      </c>
      <c r="C610" s="24" t="s">
        <v>58</v>
      </c>
      <c r="D610" s="24" t="s">
        <v>59</v>
      </c>
      <c r="E610" s="8">
        <v>46143</v>
      </c>
      <c r="F610" s="8">
        <v>46147</v>
      </c>
      <c r="G610" s="9">
        <v>5</v>
      </c>
      <c r="H610" s="10">
        <v>157</v>
      </c>
      <c r="I610" s="10">
        <v>55</v>
      </c>
      <c r="J610" s="10">
        <v>35</v>
      </c>
      <c r="K610" s="11">
        <f t="shared" si="116"/>
        <v>31.4</v>
      </c>
      <c r="L610" s="11">
        <f t="shared" si="117"/>
        <v>11</v>
      </c>
      <c r="M610" s="12">
        <f t="shared" si="118"/>
        <v>0.3503184713375796</v>
      </c>
      <c r="N610" s="11">
        <f t="shared" si="119"/>
        <v>7</v>
      </c>
      <c r="O610" s="12">
        <f t="shared" si="120"/>
        <v>0.63636363636363635</v>
      </c>
      <c r="P610" s="12">
        <f t="shared" si="121"/>
        <v>0.22292993630573249</v>
      </c>
      <c r="Q610" s="13">
        <f t="shared" si="126"/>
        <v>10.999999999999998</v>
      </c>
      <c r="R610" s="13">
        <f t="shared" si="127"/>
        <v>7</v>
      </c>
    </row>
    <row r="611" spans="1:18" ht="15.75" customHeight="1" x14ac:dyDescent="0.3">
      <c r="A611" s="7" t="s">
        <v>254</v>
      </c>
      <c r="B611" s="7" t="s">
        <v>178</v>
      </c>
      <c r="C611" s="24" t="s">
        <v>58</v>
      </c>
      <c r="D611" s="24" t="s">
        <v>442</v>
      </c>
      <c r="E611" s="8">
        <v>46148</v>
      </c>
      <c r="F611" s="8">
        <v>46154</v>
      </c>
      <c r="G611" s="9">
        <v>7</v>
      </c>
      <c r="H611" s="10">
        <v>37</v>
      </c>
      <c r="I611" s="10">
        <v>16</v>
      </c>
      <c r="J611" s="10">
        <v>10</v>
      </c>
      <c r="K611" s="11">
        <f t="shared" si="116"/>
        <v>5.2857142857142856</v>
      </c>
      <c r="L611" s="11">
        <f t="shared" si="117"/>
        <v>2.2857142857142856</v>
      </c>
      <c r="M611" s="12">
        <f t="shared" si="118"/>
        <v>0.43243243243243246</v>
      </c>
      <c r="N611" s="11">
        <f t="shared" si="119"/>
        <v>1.4285714285714286</v>
      </c>
      <c r="O611" s="12">
        <f t="shared" si="120"/>
        <v>0.625</v>
      </c>
      <c r="P611" s="12">
        <f t="shared" si="121"/>
        <v>0.27027027027027029</v>
      </c>
      <c r="Q611" s="13">
        <f t="shared" si="126"/>
        <v>2.2857142857142856</v>
      </c>
      <c r="R611" s="13">
        <f t="shared" si="127"/>
        <v>1.4285714285714286</v>
      </c>
    </row>
    <row r="612" spans="1:18" ht="15.75" customHeight="1" x14ac:dyDescent="0.3">
      <c r="A612" s="7" t="s">
        <v>254</v>
      </c>
      <c r="B612" s="7" t="s">
        <v>179</v>
      </c>
      <c r="C612" s="24" t="s">
        <v>58</v>
      </c>
      <c r="D612" s="24" t="s">
        <v>107</v>
      </c>
      <c r="E612" s="8">
        <v>46148</v>
      </c>
      <c r="F612" s="8">
        <v>46154</v>
      </c>
      <c r="G612" s="9">
        <v>7</v>
      </c>
      <c r="H612" s="10">
        <v>5</v>
      </c>
      <c r="I612" s="10">
        <v>0</v>
      </c>
      <c r="J612" s="10">
        <v>0</v>
      </c>
      <c r="K612" s="11">
        <f t="shared" si="116"/>
        <v>0.7142857142857143</v>
      </c>
      <c r="L612" s="11">
        <f t="shared" si="117"/>
        <v>0</v>
      </c>
      <c r="M612" s="12">
        <f t="shared" si="118"/>
        <v>0</v>
      </c>
      <c r="N612" s="11">
        <f t="shared" si="119"/>
        <v>0</v>
      </c>
      <c r="O612" s="12" t="str">
        <f t="shared" si="120"/>
        <v/>
      </c>
      <c r="P612" s="12">
        <f t="shared" si="121"/>
        <v>0</v>
      </c>
      <c r="Q612" s="13">
        <f t="shared" si="126"/>
        <v>0</v>
      </c>
      <c r="R612" s="13">
        <f t="shared" si="127"/>
        <v>0</v>
      </c>
    </row>
    <row r="613" spans="1:18" ht="15.75" customHeight="1" x14ac:dyDescent="0.3">
      <c r="A613" s="7" t="s">
        <v>254</v>
      </c>
      <c r="B613" s="7" t="s">
        <v>60</v>
      </c>
      <c r="C613" s="24" t="s">
        <v>58</v>
      </c>
      <c r="D613" s="24" t="s">
        <v>61</v>
      </c>
      <c r="E613" s="8">
        <v>46148</v>
      </c>
      <c r="F613" s="8">
        <v>46154</v>
      </c>
      <c r="G613" s="9">
        <v>7</v>
      </c>
      <c r="H613" s="10">
        <v>294</v>
      </c>
      <c r="I613" s="10">
        <v>94</v>
      </c>
      <c r="J613" s="10">
        <v>66</v>
      </c>
      <c r="K613" s="11">
        <f t="shared" si="116"/>
        <v>42</v>
      </c>
      <c r="L613" s="11">
        <f t="shared" si="117"/>
        <v>13.428571428571429</v>
      </c>
      <c r="M613" s="12">
        <f t="shared" si="118"/>
        <v>0.31972789115646261</v>
      </c>
      <c r="N613" s="11">
        <f t="shared" si="119"/>
        <v>9.4285714285714288</v>
      </c>
      <c r="O613" s="12">
        <f t="shared" si="120"/>
        <v>0.7021276595744681</v>
      </c>
      <c r="P613" s="12">
        <f t="shared" si="121"/>
        <v>0.22448979591836735</v>
      </c>
      <c r="Q613" s="13">
        <f t="shared" si="126"/>
        <v>13.428571428571429</v>
      </c>
      <c r="R613" s="13">
        <f t="shared" si="127"/>
        <v>9.4285714285714288</v>
      </c>
    </row>
    <row r="614" spans="1:18" ht="15.75" customHeight="1" x14ac:dyDescent="0.3">
      <c r="A614" s="7" t="s">
        <v>254</v>
      </c>
      <c r="B614" s="7" t="s">
        <v>235</v>
      </c>
      <c r="C614" s="24" t="s">
        <v>58</v>
      </c>
      <c r="D614" s="24" t="s">
        <v>107</v>
      </c>
      <c r="E614" s="8">
        <v>46148</v>
      </c>
      <c r="F614" s="8">
        <v>46154</v>
      </c>
      <c r="G614" s="9">
        <v>7</v>
      </c>
      <c r="H614" s="10">
        <v>55</v>
      </c>
      <c r="I614" s="10">
        <v>21</v>
      </c>
      <c r="J614" s="10">
        <v>20</v>
      </c>
      <c r="K614" s="11">
        <f t="shared" si="116"/>
        <v>7.8571428571428568</v>
      </c>
      <c r="L614" s="11">
        <f t="shared" si="117"/>
        <v>3</v>
      </c>
      <c r="M614" s="12">
        <f t="shared" si="118"/>
        <v>0.38181818181818183</v>
      </c>
      <c r="N614" s="11">
        <f t="shared" si="119"/>
        <v>2.8571428571428572</v>
      </c>
      <c r="O614" s="12">
        <f t="shared" si="120"/>
        <v>0.95238095238095233</v>
      </c>
      <c r="P614" s="12">
        <f t="shared" si="121"/>
        <v>0.36363636363636365</v>
      </c>
      <c r="Q614" s="13">
        <f t="shared" si="126"/>
        <v>3</v>
      </c>
      <c r="R614" s="13">
        <f t="shared" si="127"/>
        <v>2.8571428571428572</v>
      </c>
    </row>
    <row r="615" spans="1:18" ht="15.75" customHeight="1" x14ac:dyDescent="0.3">
      <c r="A615" s="7" t="s">
        <v>254</v>
      </c>
      <c r="B615" s="7" t="s">
        <v>191</v>
      </c>
      <c r="C615" s="24" t="s">
        <v>58</v>
      </c>
      <c r="D615" s="24" t="s">
        <v>61</v>
      </c>
      <c r="E615" s="8">
        <v>46148</v>
      </c>
      <c r="F615" s="8">
        <v>46154</v>
      </c>
      <c r="G615" s="9">
        <v>7</v>
      </c>
      <c r="H615" s="10">
        <v>250</v>
      </c>
      <c r="I615" s="10">
        <v>70</v>
      </c>
      <c r="J615" s="10">
        <v>43</v>
      </c>
      <c r="K615" s="11">
        <f t="shared" si="116"/>
        <v>35.714285714285715</v>
      </c>
      <c r="L615" s="11">
        <f t="shared" si="117"/>
        <v>10</v>
      </c>
      <c r="M615" s="12">
        <f t="shared" si="118"/>
        <v>0.28000000000000003</v>
      </c>
      <c r="N615" s="11">
        <f t="shared" si="119"/>
        <v>6.1428571428571432</v>
      </c>
      <c r="O615" s="12">
        <f t="shared" si="120"/>
        <v>0.61428571428571432</v>
      </c>
      <c r="P615" s="12">
        <f t="shared" si="121"/>
        <v>0.17199999999999999</v>
      </c>
      <c r="Q615" s="13">
        <f t="shared" si="126"/>
        <v>10.000000000000002</v>
      </c>
      <c r="R615" s="13">
        <f t="shared" si="127"/>
        <v>6.1428571428571423</v>
      </c>
    </row>
    <row r="616" spans="1:18" ht="15.75" customHeight="1" x14ac:dyDescent="0.3">
      <c r="A616" s="7" t="s">
        <v>254</v>
      </c>
      <c r="B616" s="7" t="s">
        <v>192</v>
      </c>
      <c r="C616" s="24" t="s">
        <v>58</v>
      </c>
      <c r="D616" s="24" t="s">
        <v>193</v>
      </c>
      <c r="E616" s="8">
        <v>46148</v>
      </c>
      <c r="F616" s="8">
        <v>46154</v>
      </c>
      <c r="G616" s="9">
        <v>7</v>
      </c>
      <c r="H616" s="10">
        <v>10</v>
      </c>
      <c r="I616" s="10">
        <v>4</v>
      </c>
      <c r="J616" s="10">
        <v>3</v>
      </c>
      <c r="K616" s="11">
        <f t="shared" si="116"/>
        <v>1.4285714285714286</v>
      </c>
      <c r="L616" s="11">
        <f t="shared" si="117"/>
        <v>0.5714285714285714</v>
      </c>
      <c r="M616" s="12">
        <f t="shared" si="118"/>
        <v>0.4</v>
      </c>
      <c r="N616" s="11">
        <f t="shared" si="119"/>
        <v>0.42857142857142855</v>
      </c>
      <c r="O616" s="12">
        <f t="shared" si="120"/>
        <v>0.75</v>
      </c>
      <c r="P616" s="12">
        <f t="shared" si="121"/>
        <v>0.3</v>
      </c>
      <c r="Q616" s="13">
        <f t="shared" si="126"/>
        <v>0.57142857142857151</v>
      </c>
      <c r="R616" s="13">
        <f t="shared" si="127"/>
        <v>0.42857142857142855</v>
      </c>
    </row>
    <row r="617" spans="1:18" ht="15.75" customHeight="1" x14ac:dyDescent="0.3">
      <c r="A617" s="7" t="s">
        <v>254</v>
      </c>
      <c r="B617" s="7" t="s">
        <v>194</v>
      </c>
      <c r="C617" s="24" t="s">
        <v>58</v>
      </c>
      <c r="D617" s="24" t="s">
        <v>103</v>
      </c>
      <c r="E617" s="8">
        <v>46148</v>
      </c>
      <c r="F617" s="8">
        <v>46154</v>
      </c>
      <c r="G617" s="9">
        <v>7</v>
      </c>
      <c r="H617" s="10">
        <v>83</v>
      </c>
      <c r="I617" s="10">
        <v>19</v>
      </c>
      <c r="J617" s="10">
        <v>12</v>
      </c>
      <c r="K617" s="11">
        <f t="shared" si="116"/>
        <v>11.857142857142858</v>
      </c>
      <c r="L617" s="11">
        <f t="shared" si="117"/>
        <v>2.7142857142857144</v>
      </c>
      <c r="M617" s="12">
        <f t="shared" si="118"/>
        <v>0.2289156626506024</v>
      </c>
      <c r="N617" s="11">
        <f t="shared" si="119"/>
        <v>1.7142857142857142</v>
      </c>
      <c r="O617" s="12">
        <f t="shared" si="120"/>
        <v>0.63157894736842102</v>
      </c>
      <c r="P617" s="12">
        <f t="shared" si="121"/>
        <v>0.14457831325301204</v>
      </c>
      <c r="Q617" s="13">
        <f t="shared" si="126"/>
        <v>2.7142857142857144</v>
      </c>
      <c r="R617" s="13">
        <f t="shared" si="127"/>
        <v>1.7142857142857142</v>
      </c>
    </row>
    <row r="618" spans="1:18" ht="15.75" customHeight="1" x14ac:dyDescent="0.3">
      <c r="A618" s="7" t="s">
        <v>254</v>
      </c>
      <c r="B618" s="7" t="s">
        <v>243</v>
      </c>
      <c r="C618" s="24" t="s">
        <v>58</v>
      </c>
      <c r="D618" s="24" t="s">
        <v>193</v>
      </c>
      <c r="E618" s="8">
        <v>46148</v>
      </c>
      <c r="F618" s="8">
        <v>46154</v>
      </c>
      <c r="G618" s="9">
        <v>7</v>
      </c>
      <c r="H618" s="10"/>
      <c r="I618" s="10"/>
      <c r="J618" s="10"/>
      <c r="K618" s="11">
        <f t="shared" si="116"/>
        <v>0</v>
      </c>
      <c r="L618" s="11">
        <f t="shared" si="117"/>
        <v>0</v>
      </c>
      <c r="M618" s="12" t="str">
        <f t="shared" si="118"/>
        <v/>
      </c>
      <c r="N618" s="11">
        <f t="shared" si="119"/>
        <v>0</v>
      </c>
      <c r="O618" s="12" t="str">
        <f t="shared" si="120"/>
        <v/>
      </c>
      <c r="P618" s="12" t="str">
        <f t="shared" si="121"/>
        <v/>
      </c>
    </row>
    <row r="619" spans="1:18" ht="15.75" customHeight="1" x14ac:dyDescent="0.3">
      <c r="A619" s="7" t="s">
        <v>254</v>
      </c>
      <c r="B619" s="7" t="s">
        <v>128</v>
      </c>
      <c r="C619" s="24" t="s">
        <v>58</v>
      </c>
      <c r="D619" s="24" t="s">
        <v>61</v>
      </c>
      <c r="E619" s="8">
        <v>46148</v>
      </c>
      <c r="F619" s="8">
        <v>46154</v>
      </c>
      <c r="G619" s="9">
        <v>7</v>
      </c>
      <c r="H619" s="10">
        <v>77</v>
      </c>
      <c r="I619" s="10">
        <v>22</v>
      </c>
      <c r="J619" s="10">
        <v>19</v>
      </c>
      <c r="K619" s="11">
        <f t="shared" si="116"/>
        <v>11</v>
      </c>
      <c r="L619" s="11">
        <f t="shared" si="117"/>
        <v>3.1428571428571428</v>
      </c>
      <c r="M619" s="12">
        <f t="shared" si="118"/>
        <v>0.2857142857142857</v>
      </c>
      <c r="N619" s="11">
        <f t="shared" si="119"/>
        <v>2.7142857142857144</v>
      </c>
      <c r="O619" s="12">
        <f t="shared" si="120"/>
        <v>0.86363636363636365</v>
      </c>
      <c r="P619" s="12">
        <f t="shared" si="121"/>
        <v>0.24675324675324675</v>
      </c>
      <c r="Q619" s="13">
        <f t="shared" ref="Q619:Q625" si="128">IFERROR((I619/H619)*K619,"")</f>
        <v>3.1428571428571428</v>
      </c>
      <c r="R619" s="13">
        <f t="shared" ref="R619:R625" si="129">IFERROR((J619/H619)*K619,"")</f>
        <v>2.7142857142857144</v>
      </c>
    </row>
    <row r="620" spans="1:18" ht="15.75" customHeight="1" x14ac:dyDescent="0.3">
      <c r="A620" s="7" t="s">
        <v>254</v>
      </c>
      <c r="B620" s="7" t="s">
        <v>129</v>
      </c>
      <c r="C620" s="24" t="s">
        <v>58</v>
      </c>
      <c r="D620" s="24" t="s">
        <v>61</v>
      </c>
      <c r="E620" s="8">
        <v>46148</v>
      </c>
      <c r="F620" s="8">
        <v>46154</v>
      </c>
      <c r="G620" s="9">
        <v>7</v>
      </c>
      <c r="H620" s="10">
        <v>409</v>
      </c>
      <c r="I620" s="10">
        <v>59</v>
      </c>
      <c r="J620" s="10">
        <v>52</v>
      </c>
      <c r="K620" s="11">
        <f t="shared" si="116"/>
        <v>58.428571428571431</v>
      </c>
      <c r="L620" s="11">
        <f t="shared" si="117"/>
        <v>8.4285714285714288</v>
      </c>
      <c r="M620" s="12">
        <f t="shared" si="118"/>
        <v>0.14425427872860636</v>
      </c>
      <c r="N620" s="11">
        <f t="shared" si="119"/>
        <v>7.4285714285714288</v>
      </c>
      <c r="O620" s="12">
        <f t="shared" si="120"/>
        <v>0.88135593220338981</v>
      </c>
      <c r="P620" s="12">
        <f t="shared" si="121"/>
        <v>0.12713936430317849</v>
      </c>
      <c r="Q620" s="13">
        <f t="shared" si="128"/>
        <v>8.4285714285714288</v>
      </c>
      <c r="R620" s="13">
        <f t="shared" si="129"/>
        <v>7.4285714285714288</v>
      </c>
    </row>
    <row r="621" spans="1:18" ht="15.75" customHeight="1" x14ac:dyDescent="0.3">
      <c r="A621" s="7" t="s">
        <v>254</v>
      </c>
      <c r="B621" s="7" t="s">
        <v>104</v>
      </c>
      <c r="C621" s="24" t="s">
        <v>58</v>
      </c>
      <c r="D621" s="24" t="s">
        <v>61</v>
      </c>
      <c r="E621" s="8">
        <v>46148</v>
      </c>
      <c r="F621" s="8">
        <v>46154</v>
      </c>
      <c r="G621" s="9">
        <v>7</v>
      </c>
      <c r="H621" s="10">
        <v>153</v>
      </c>
      <c r="I621" s="10">
        <v>32</v>
      </c>
      <c r="J621" s="10">
        <v>25</v>
      </c>
      <c r="K621" s="11">
        <f t="shared" si="116"/>
        <v>21.857142857142858</v>
      </c>
      <c r="L621" s="11">
        <f t="shared" si="117"/>
        <v>4.5714285714285712</v>
      </c>
      <c r="M621" s="12">
        <f t="shared" si="118"/>
        <v>0.20915032679738563</v>
      </c>
      <c r="N621" s="11">
        <f t="shared" si="119"/>
        <v>3.5714285714285716</v>
      </c>
      <c r="O621" s="12">
        <f t="shared" si="120"/>
        <v>0.78125</v>
      </c>
      <c r="P621" s="12">
        <f t="shared" si="121"/>
        <v>0.16339869281045752</v>
      </c>
      <c r="Q621" s="13">
        <f t="shared" si="128"/>
        <v>4.5714285714285721</v>
      </c>
      <c r="R621" s="13">
        <f t="shared" si="129"/>
        <v>3.5714285714285716</v>
      </c>
    </row>
    <row r="622" spans="1:18" ht="15.75" customHeight="1" x14ac:dyDescent="0.3">
      <c r="A622" s="7" t="s">
        <v>254</v>
      </c>
      <c r="B622" s="7" t="s">
        <v>208</v>
      </c>
      <c r="C622" s="24" t="s">
        <v>58</v>
      </c>
      <c r="D622" s="24" t="s">
        <v>107</v>
      </c>
      <c r="E622" s="8">
        <v>46148</v>
      </c>
      <c r="F622" s="8">
        <v>46154</v>
      </c>
      <c r="G622" s="9">
        <v>7</v>
      </c>
      <c r="H622" s="10">
        <v>175</v>
      </c>
      <c r="I622" s="10">
        <v>63</v>
      </c>
      <c r="J622" s="10">
        <v>52</v>
      </c>
      <c r="K622" s="11">
        <f t="shared" si="116"/>
        <v>25</v>
      </c>
      <c r="L622" s="11">
        <f t="shared" si="117"/>
        <v>9</v>
      </c>
      <c r="M622" s="12">
        <f t="shared" si="118"/>
        <v>0.36</v>
      </c>
      <c r="N622" s="11">
        <f t="shared" si="119"/>
        <v>7.4285714285714288</v>
      </c>
      <c r="O622" s="12">
        <f t="shared" si="120"/>
        <v>0.82539682539682535</v>
      </c>
      <c r="P622" s="12">
        <f t="shared" si="121"/>
        <v>0.29714285714285715</v>
      </c>
      <c r="Q622" s="13">
        <f t="shared" si="128"/>
        <v>9</v>
      </c>
      <c r="R622" s="13">
        <f t="shared" si="129"/>
        <v>7.4285714285714288</v>
      </c>
    </row>
    <row r="623" spans="1:18" ht="15.75" customHeight="1" x14ac:dyDescent="0.3">
      <c r="A623" s="7" t="s">
        <v>254</v>
      </c>
      <c r="B623" s="7" t="s">
        <v>86</v>
      </c>
      <c r="C623" s="24" t="s">
        <v>58</v>
      </c>
      <c r="D623" s="24" t="s">
        <v>64</v>
      </c>
      <c r="E623" s="8">
        <v>46148</v>
      </c>
      <c r="F623" s="8">
        <v>46154</v>
      </c>
      <c r="G623" s="9">
        <v>7</v>
      </c>
      <c r="H623" s="10">
        <v>13</v>
      </c>
      <c r="I623" s="10">
        <v>8</v>
      </c>
      <c r="J623" s="10">
        <v>6</v>
      </c>
      <c r="K623" s="11">
        <f t="shared" si="116"/>
        <v>1.8571428571428572</v>
      </c>
      <c r="L623" s="11">
        <f t="shared" si="117"/>
        <v>1.1428571428571428</v>
      </c>
      <c r="M623" s="12">
        <f t="shared" si="118"/>
        <v>0.61538461538461542</v>
      </c>
      <c r="N623" s="11">
        <f t="shared" si="119"/>
        <v>0.8571428571428571</v>
      </c>
      <c r="O623" s="12">
        <f t="shared" si="120"/>
        <v>0.75</v>
      </c>
      <c r="P623" s="12">
        <f t="shared" si="121"/>
        <v>0.46153846153846156</v>
      </c>
      <c r="Q623" s="13">
        <f t="shared" si="128"/>
        <v>1.142857142857143</v>
      </c>
      <c r="R623" s="13">
        <f t="shared" si="129"/>
        <v>0.85714285714285721</v>
      </c>
    </row>
    <row r="624" spans="1:18" ht="15.75" customHeight="1" x14ac:dyDescent="0.3">
      <c r="A624" s="7" t="s">
        <v>254</v>
      </c>
      <c r="B624" s="7" t="s">
        <v>195</v>
      </c>
      <c r="C624" s="24" t="s">
        <v>58</v>
      </c>
      <c r="D624" s="24" t="s">
        <v>444</v>
      </c>
      <c r="E624" s="8">
        <v>46148</v>
      </c>
      <c r="F624" s="8">
        <v>46154</v>
      </c>
      <c r="G624" s="9">
        <v>7</v>
      </c>
      <c r="H624" s="10">
        <v>150</v>
      </c>
      <c r="I624" s="10">
        <v>51</v>
      </c>
      <c r="J624" s="10">
        <v>34</v>
      </c>
      <c r="K624" s="11">
        <f t="shared" si="116"/>
        <v>21.428571428571427</v>
      </c>
      <c r="L624" s="11">
        <f t="shared" si="117"/>
        <v>7.2857142857142856</v>
      </c>
      <c r="M624" s="12">
        <f t="shared" si="118"/>
        <v>0.34</v>
      </c>
      <c r="N624" s="11">
        <f t="shared" si="119"/>
        <v>4.8571428571428568</v>
      </c>
      <c r="O624" s="12">
        <f t="shared" si="120"/>
        <v>0.66666666666666663</v>
      </c>
      <c r="P624" s="12">
        <f t="shared" si="121"/>
        <v>0.22666666666666666</v>
      </c>
      <c r="Q624" s="13">
        <f t="shared" si="128"/>
        <v>7.2857142857142856</v>
      </c>
      <c r="R624" s="13">
        <f t="shared" si="129"/>
        <v>4.8571428571428568</v>
      </c>
    </row>
    <row r="625" spans="1:18" ht="15.75" customHeight="1" x14ac:dyDescent="0.3">
      <c r="A625" s="7" t="s">
        <v>254</v>
      </c>
      <c r="B625" s="7" t="s">
        <v>33</v>
      </c>
      <c r="C625" s="24" t="s">
        <v>34</v>
      </c>
      <c r="D625" s="24" t="s">
        <v>35</v>
      </c>
      <c r="E625" s="8">
        <v>46148</v>
      </c>
      <c r="F625" s="8">
        <v>46154</v>
      </c>
      <c r="G625" s="9">
        <v>7</v>
      </c>
      <c r="H625" s="10">
        <v>319</v>
      </c>
      <c r="I625" s="10">
        <v>105</v>
      </c>
      <c r="J625" s="10">
        <v>62</v>
      </c>
      <c r="K625" s="11">
        <f t="shared" si="116"/>
        <v>45.571428571428569</v>
      </c>
      <c r="L625" s="11">
        <f t="shared" si="117"/>
        <v>15</v>
      </c>
      <c r="M625" s="12">
        <f t="shared" si="118"/>
        <v>0.32915360501567398</v>
      </c>
      <c r="N625" s="11">
        <f t="shared" si="119"/>
        <v>8.8571428571428577</v>
      </c>
      <c r="O625" s="12">
        <f t="shared" si="120"/>
        <v>0.59047619047619049</v>
      </c>
      <c r="P625" s="12">
        <f t="shared" si="121"/>
        <v>0.19435736677115986</v>
      </c>
      <c r="Q625" s="13">
        <f t="shared" si="128"/>
        <v>15</v>
      </c>
      <c r="R625" s="13">
        <f t="shared" si="129"/>
        <v>8.8571428571428559</v>
      </c>
    </row>
    <row r="626" spans="1:18" ht="15.75" customHeight="1" x14ac:dyDescent="0.3">
      <c r="A626" s="7" t="s">
        <v>254</v>
      </c>
      <c r="B626" s="7" t="s">
        <v>36</v>
      </c>
      <c r="C626" s="24" t="s">
        <v>34</v>
      </c>
      <c r="D626" s="24" t="s">
        <v>35</v>
      </c>
      <c r="E626" s="8">
        <v>46148</v>
      </c>
      <c r="F626" s="8">
        <v>46154</v>
      </c>
      <c r="G626" s="9">
        <v>7</v>
      </c>
      <c r="H626" s="10"/>
      <c r="I626" s="10"/>
      <c r="J626" s="10"/>
      <c r="K626" s="11">
        <f t="shared" si="116"/>
        <v>0</v>
      </c>
      <c r="L626" s="11">
        <f t="shared" si="117"/>
        <v>0</v>
      </c>
      <c r="M626" s="12" t="str">
        <f t="shared" si="118"/>
        <v/>
      </c>
      <c r="N626" s="11">
        <f t="shared" si="119"/>
        <v>0</v>
      </c>
      <c r="O626" s="12" t="str">
        <f t="shared" si="120"/>
        <v/>
      </c>
      <c r="P626" s="12" t="str">
        <f t="shared" si="121"/>
        <v/>
      </c>
    </row>
    <row r="627" spans="1:18" ht="15.75" customHeight="1" x14ac:dyDescent="0.3">
      <c r="A627" s="7" t="s">
        <v>254</v>
      </c>
      <c r="B627" s="7" t="s">
        <v>170</v>
      </c>
      <c r="C627" s="24" t="s">
        <v>34</v>
      </c>
      <c r="D627" s="24" t="s">
        <v>35</v>
      </c>
      <c r="E627" s="8">
        <v>46148</v>
      </c>
      <c r="F627" s="8">
        <v>46154</v>
      </c>
      <c r="G627" s="9">
        <v>7</v>
      </c>
      <c r="H627" s="10">
        <v>464</v>
      </c>
      <c r="I627" s="10">
        <v>143</v>
      </c>
      <c r="J627" s="10">
        <v>83</v>
      </c>
      <c r="K627" s="11">
        <f t="shared" si="116"/>
        <v>66.285714285714292</v>
      </c>
      <c r="L627" s="11">
        <f t="shared" si="117"/>
        <v>20.428571428571427</v>
      </c>
      <c r="M627" s="12">
        <f t="shared" si="118"/>
        <v>0.30818965517241381</v>
      </c>
      <c r="N627" s="11">
        <f t="shared" si="119"/>
        <v>11.857142857142858</v>
      </c>
      <c r="O627" s="12">
        <f t="shared" si="120"/>
        <v>0.58041958041958042</v>
      </c>
      <c r="P627" s="12">
        <f t="shared" si="121"/>
        <v>0.1788793103448276</v>
      </c>
      <c r="Q627" s="13">
        <f>IFERROR((I627/H627)*K627,"")</f>
        <v>20.428571428571431</v>
      </c>
      <c r="R627" s="13">
        <f>IFERROR((J627/H627)*K627,"")</f>
        <v>11.857142857142859</v>
      </c>
    </row>
    <row r="628" spans="1:18" ht="15.75" customHeight="1" x14ac:dyDescent="0.3">
      <c r="A628" s="7" t="s">
        <v>254</v>
      </c>
      <c r="B628" s="7" t="s">
        <v>246</v>
      </c>
      <c r="C628" s="24" t="s">
        <v>34</v>
      </c>
      <c r="D628" s="24" t="s">
        <v>91</v>
      </c>
      <c r="E628" s="8">
        <v>46148</v>
      </c>
      <c r="F628" s="8">
        <v>46154</v>
      </c>
      <c r="G628" s="9">
        <v>7</v>
      </c>
      <c r="H628" s="10"/>
      <c r="I628" s="10"/>
      <c r="J628" s="10"/>
      <c r="K628" s="11">
        <f t="shared" si="116"/>
        <v>0</v>
      </c>
      <c r="L628" s="11">
        <f t="shared" si="117"/>
        <v>0</v>
      </c>
      <c r="M628" s="12" t="str">
        <f t="shared" si="118"/>
        <v/>
      </c>
      <c r="N628" s="11">
        <f t="shared" si="119"/>
        <v>0</v>
      </c>
      <c r="O628" s="12" t="str">
        <f t="shared" si="120"/>
        <v/>
      </c>
      <c r="P628" s="12" t="str">
        <f t="shared" si="121"/>
        <v/>
      </c>
    </row>
    <row r="629" spans="1:18" ht="15.75" customHeight="1" x14ac:dyDescent="0.3">
      <c r="A629" s="7" t="s">
        <v>254</v>
      </c>
      <c r="B629" s="7" t="s">
        <v>38</v>
      </c>
      <c r="C629" s="24" t="s">
        <v>34</v>
      </c>
      <c r="D629" s="24" t="s">
        <v>39</v>
      </c>
      <c r="E629" s="8">
        <v>46148</v>
      </c>
      <c r="F629" s="8">
        <v>46154</v>
      </c>
      <c r="G629" s="9">
        <v>7</v>
      </c>
      <c r="H629" s="10">
        <v>290</v>
      </c>
      <c r="I629" s="10">
        <v>35</v>
      </c>
      <c r="J629" s="10">
        <v>23</v>
      </c>
      <c r="K629" s="11">
        <f t="shared" si="116"/>
        <v>41.428571428571431</v>
      </c>
      <c r="L629" s="11">
        <f t="shared" si="117"/>
        <v>5</v>
      </c>
      <c r="M629" s="12">
        <f t="shared" si="118"/>
        <v>0.1206896551724138</v>
      </c>
      <c r="N629" s="11">
        <f t="shared" si="119"/>
        <v>3.2857142857142856</v>
      </c>
      <c r="O629" s="12">
        <f t="shared" si="120"/>
        <v>0.65714285714285714</v>
      </c>
      <c r="P629" s="12">
        <f t="shared" si="121"/>
        <v>7.9310344827586213E-2</v>
      </c>
      <c r="Q629" s="13">
        <f t="shared" ref="Q629:Q654" si="130">IFERROR((I629/H629)*K629,"")</f>
        <v>5.0000000000000009</v>
      </c>
      <c r="R629" s="13">
        <f t="shared" ref="R629:R654" si="131">IFERROR((J629/H629)*K629,"")</f>
        <v>3.285714285714286</v>
      </c>
    </row>
    <row r="630" spans="1:18" ht="15.75" customHeight="1" x14ac:dyDescent="0.3">
      <c r="A630" s="7" t="s">
        <v>254</v>
      </c>
      <c r="B630" s="7" t="s">
        <v>40</v>
      </c>
      <c r="C630" s="24" t="s">
        <v>34</v>
      </c>
      <c r="D630" s="24" t="s">
        <v>39</v>
      </c>
      <c r="E630" s="8">
        <v>46148</v>
      </c>
      <c r="F630" s="8">
        <v>46154</v>
      </c>
      <c r="G630" s="9">
        <v>7</v>
      </c>
      <c r="H630" s="10">
        <v>3</v>
      </c>
      <c r="I630" s="10">
        <v>0</v>
      </c>
      <c r="J630" s="10">
        <v>0</v>
      </c>
      <c r="K630" s="11">
        <f t="shared" si="116"/>
        <v>0.42857142857142855</v>
      </c>
      <c r="L630" s="11">
        <f t="shared" si="117"/>
        <v>0</v>
      </c>
      <c r="M630" s="12">
        <f t="shared" si="118"/>
        <v>0</v>
      </c>
      <c r="N630" s="11">
        <f t="shared" si="119"/>
        <v>0</v>
      </c>
      <c r="O630" s="12" t="str">
        <f t="shared" si="120"/>
        <v/>
      </c>
      <c r="P630" s="12">
        <f t="shared" si="121"/>
        <v>0</v>
      </c>
      <c r="Q630" s="13">
        <f t="shared" si="130"/>
        <v>0</v>
      </c>
      <c r="R630" s="13">
        <f t="shared" si="131"/>
        <v>0</v>
      </c>
    </row>
    <row r="631" spans="1:18" ht="15.75" customHeight="1" x14ac:dyDescent="0.3">
      <c r="A631" s="7" t="s">
        <v>254</v>
      </c>
      <c r="B631" s="7" t="s">
        <v>117</v>
      </c>
      <c r="C631" s="24" t="s">
        <v>47</v>
      </c>
      <c r="D631" s="24" t="s">
        <v>48</v>
      </c>
      <c r="E631" s="8">
        <v>46148</v>
      </c>
      <c r="F631" s="8">
        <v>46154</v>
      </c>
      <c r="G631" s="9">
        <v>7</v>
      </c>
      <c r="H631" s="10">
        <v>1869</v>
      </c>
      <c r="I631" s="10">
        <v>669</v>
      </c>
      <c r="J631" s="10">
        <v>475</v>
      </c>
      <c r="K631" s="11">
        <f t="shared" si="116"/>
        <v>267</v>
      </c>
      <c r="L631" s="11">
        <f t="shared" si="117"/>
        <v>95.571428571428569</v>
      </c>
      <c r="M631" s="12">
        <f t="shared" si="118"/>
        <v>0.3579454253611557</v>
      </c>
      <c r="N631" s="11">
        <f t="shared" si="119"/>
        <v>67.857142857142861</v>
      </c>
      <c r="O631" s="12">
        <f t="shared" si="120"/>
        <v>0.71001494768310913</v>
      </c>
      <c r="P631" s="12">
        <f t="shared" si="121"/>
        <v>0.25414660246120918</v>
      </c>
      <c r="Q631" s="13">
        <f t="shared" si="130"/>
        <v>95.571428571428569</v>
      </c>
      <c r="R631" s="13">
        <f t="shared" si="131"/>
        <v>67.857142857142847</v>
      </c>
    </row>
    <row r="632" spans="1:18" ht="15.75" customHeight="1" x14ac:dyDescent="0.3">
      <c r="A632" s="7" t="s">
        <v>254</v>
      </c>
      <c r="B632" s="7" t="s">
        <v>118</v>
      </c>
      <c r="C632" s="24" t="s">
        <v>47</v>
      </c>
      <c r="D632" s="24" t="s">
        <v>48</v>
      </c>
      <c r="E632" s="8">
        <v>46148</v>
      </c>
      <c r="F632" s="8">
        <v>46154</v>
      </c>
      <c r="G632" s="9">
        <v>7</v>
      </c>
      <c r="H632" s="10">
        <v>76</v>
      </c>
      <c r="I632" s="10">
        <v>27</v>
      </c>
      <c r="J632" s="10">
        <v>19</v>
      </c>
      <c r="K632" s="11">
        <f t="shared" ref="K632:K695" si="132">IFERROR(H632/G632,"")</f>
        <v>10.857142857142858</v>
      </c>
      <c r="L632" s="11">
        <f t="shared" ref="L632:L695" si="133">IFERROR(I632/G632,"")</f>
        <v>3.8571428571428572</v>
      </c>
      <c r="M632" s="12">
        <f t="shared" ref="M632:M695" si="134">IFERROR(I632/H632,"")</f>
        <v>0.35526315789473684</v>
      </c>
      <c r="N632" s="11">
        <f t="shared" ref="N632:N695" si="135">IFERROR(J632/G632,"")</f>
        <v>2.7142857142857144</v>
      </c>
      <c r="O632" s="12">
        <f t="shared" ref="O632:O695" si="136">IFERROR(J632/I632,"")</f>
        <v>0.70370370370370372</v>
      </c>
      <c r="P632" s="12">
        <f t="shared" ref="P632:P695" si="137">IFERROR(J632/H632,"")</f>
        <v>0.25</v>
      </c>
      <c r="Q632" s="13">
        <f t="shared" si="130"/>
        <v>3.8571428571428572</v>
      </c>
      <c r="R632" s="13">
        <f t="shared" si="131"/>
        <v>2.7142857142857144</v>
      </c>
    </row>
    <row r="633" spans="1:18" ht="15.75" customHeight="1" x14ac:dyDescent="0.3">
      <c r="A633" s="7" t="s">
        <v>254</v>
      </c>
      <c r="B633" s="7" t="s">
        <v>247</v>
      </c>
      <c r="C633" s="24" t="s">
        <v>47</v>
      </c>
      <c r="D633" s="24" t="s">
        <v>48</v>
      </c>
      <c r="E633" s="8">
        <v>46148</v>
      </c>
      <c r="F633" s="8">
        <v>46154</v>
      </c>
      <c r="G633" s="9">
        <v>7</v>
      </c>
      <c r="H633" s="10">
        <v>147</v>
      </c>
      <c r="I633" s="10">
        <v>62</v>
      </c>
      <c r="J633" s="10">
        <v>43</v>
      </c>
      <c r="K633" s="11">
        <f t="shared" si="132"/>
        <v>21</v>
      </c>
      <c r="L633" s="11">
        <f t="shared" si="133"/>
        <v>8.8571428571428577</v>
      </c>
      <c r="M633" s="12">
        <f t="shared" si="134"/>
        <v>0.42176870748299322</v>
      </c>
      <c r="N633" s="11">
        <f t="shared" si="135"/>
        <v>6.1428571428571432</v>
      </c>
      <c r="O633" s="12">
        <f t="shared" si="136"/>
        <v>0.69354838709677424</v>
      </c>
      <c r="P633" s="12">
        <f t="shared" si="137"/>
        <v>0.29251700680272108</v>
      </c>
      <c r="Q633" s="13">
        <f t="shared" si="130"/>
        <v>8.8571428571428577</v>
      </c>
      <c r="R633" s="13">
        <f t="shared" si="131"/>
        <v>6.1428571428571423</v>
      </c>
    </row>
    <row r="634" spans="1:18" ht="15.75" customHeight="1" x14ac:dyDescent="0.3">
      <c r="A634" s="7" t="s">
        <v>254</v>
      </c>
      <c r="B634" s="7" t="s">
        <v>248</v>
      </c>
      <c r="C634" s="24" t="s">
        <v>47</v>
      </c>
      <c r="D634" s="24" t="s">
        <v>48</v>
      </c>
      <c r="E634" s="8">
        <v>46148</v>
      </c>
      <c r="F634" s="8">
        <v>46154</v>
      </c>
      <c r="G634" s="9">
        <v>7</v>
      </c>
      <c r="H634" s="10">
        <v>150</v>
      </c>
      <c r="I634" s="10">
        <v>53</v>
      </c>
      <c r="J634" s="10">
        <v>30</v>
      </c>
      <c r="K634" s="11">
        <f t="shared" si="132"/>
        <v>21.428571428571427</v>
      </c>
      <c r="L634" s="11">
        <f t="shared" si="133"/>
        <v>7.5714285714285712</v>
      </c>
      <c r="M634" s="12">
        <f t="shared" si="134"/>
        <v>0.35333333333333333</v>
      </c>
      <c r="N634" s="11">
        <f t="shared" si="135"/>
        <v>4.2857142857142856</v>
      </c>
      <c r="O634" s="12">
        <f t="shared" si="136"/>
        <v>0.56603773584905659</v>
      </c>
      <c r="P634" s="12">
        <f t="shared" si="137"/>
        <v>0.2</v>
      </c>
      <c r="Q634" s="13">
        <f t="shared" si="130"/>
        <v>7.5714285714285712</v>
      </c>
      <c r="R634" s="13">
        <f t="shared" si="131"/>
        <v>4.2857142857142856</v>
      </c>
    </row>
    <row r="635" spans="1:18" ht="15.75" customHeight="1" x14ac:dyDescent="0.3">
      <c r="A635" s="7" t="s">
        <v>254</v>
      </c>
      <c r="B635" s="7" t="s">
        <v>249</v>
      </c>
      <c r="C635" s="24" t="s">
        <v>47</v>
      </c>
      <c r="D635" s="24" t="s">
        <v>48</v>
      </c>
      <c r="E635" s="8">
        <v>46148</v>
      </c>
      <c r="F635" s="8">
        <v>46154</v>
      </c>
      <c r="G635" s="9">
        <v>7</v>
      </c>
      <c r="H635" s="10">
        <v>209</v>
      </c>
      <c r="I635" s="10">
        <v>87</v>
      </c>
      <c r="J635" s="10">
        <v>62</v>
      </c>
      <c r="K635" s="11">
        <f t="shared" si="132"/>
        <v>29.857142857142858</v>
      </c>
      <c r="L635" s="11">
        <f t="shared" si="133"/>
        <v>12.428571428571429</v>
      </c>
      <c r="M635" s="12">
        <f t="shared" si="134"/>
        <v>0.41626794258373206</v>
      </c>
      <c r="N635" s="11">
        <f t="shared" si="135"/>
        <v>8.8571428571428577</v>
      </c>
      <c r="O635" s="12">
        <f t="shared" si="136"/>
        <v>0.71264367816091956</v>
      </c>
      <c r="P635" s="12">
        <f t="shared" si="137"/>
        <v>0.29665071770334928</v>
      </c>
      <c r="Q635" s="13">
        <f t="shared" si="130"/>
        <v>12.428571428571429</v>
      </c>
      <c r="R635" s="13">
        <f t="shared" si="131"/>
        <v>8.8571428571428577</v>
      </c>
    </row>
    <row r="636" spans="1:18" ht="15.75" customHeight="1" x14ac:dyDescent="0.3">
      <c r="A636" s="7" t="s">
        <v>254</v>
      </c>
      <c r="B636" s="7" t="s">
        <v>214</v>
      </c>
      <c r="C636" s="24" t="s">
        <v>47</v>
      </c>
      <c r="D636" s="24" t="s">
        <v>53</v>
      </c>
      <c r="E636" s="8">
        <v>46148</v>
      </c>
      <c r="F636" s="8">
        <v>46154</v>
      </c>
      <c r="G636" s="9">
        <v>7</v>
      </c>
      <c r="H636" s="10">
        <v>64</v>
      </c>
      <c r="I636" s="10">
        <v>24</v>
      </c>
      <c r="J636" s="10">
        <v>20</v>
      </c>
      <c r="K636" s="11">
        <f t="shared" si="132"/>
        <v>9.1428571428571423</v>
      </c>
      <c r="L636" s="11">
        <f t="shared" si="133"/>
        <v>3.4285714285714284</v>
      </c>
      <c r="M636" s="12">
        <f t="shared" si="134"/>
        <v>0.375</v>
      </c>
      <c r="N636" s="11">
        <f t="shared" si="135"/>
        <v>2.8571428571428572</v>
      </c>
      <c r="O636" s="12">
        <f t="shared" si="136"/>
        <v>0.83333333333333337</v>
      </c>
      <c r="P636" s="12">
        <f t="shared" si="137"/>
        <v>0.3125</v>
      </c>
      <c r="Q636" s="13">
        <f t="shared" si="130"/>
        <v>3.4285714285714284</v>
      </c>
      <c r="R636" s="13">
        <f t="shared" si="131"/>
        <v>2.8571428571428568</v>
      </c>
    </row>
    <row r="637" spans="1:18" ht="15.75" customHeight="1" x14ac:dyDescent="0.3">
      <c r="A637" s="7" t="s">
        <v>254</v>
      </c>
      <c r="B637" s="7" t="s">
        <v>250</v>
      </c>
      <c r="C637" s="24" t="s">
        <v>47</v>
      </c>
      <c r="D637" s="24" t="s">
        <v>56</v>
      </c>
      <c r="E637" s="8">
        <v>46148</v>
      </c>
      <c r="F637" s="8">
        <v>46154</v>
      </c>
      <c r="G637" s="9">
        <v>7</v>
      </c>
      <c r="H637" s="10">
        <v>39</v>
      </c>
      <c r="I637" s="10">
        <v>17</v>
      </c>
      <c r="J637" s="10">
        <v>10</v>
      </c>
      <c r="K637" s="11">
        <f t="shared" si="132"/>
        <v>5.5714285714285712</v>
      </c>
      <c r="L637" s="11">
        <f t="shared" si="133"/>
        <v>2.4285714285714284</v>
      </c>
      <c r="M637" s="12">
        <f t="shared" si="134"/>
        <v>0.4358974358974359</v>
      </c>
      <c r="N637" s="11">
        <f t="shared" si="135"/>
        <v>1.4285714285714286</v>
      </c>
      <c r="O637" s="12">
        <f t="shared" si="136"/>
        <v>0.58823529411764708</v>
      </c>
      <c r="P637" s="12">
        <f t="shared" si="137"/>
        <v>0.25641025641025639</v>
      </c>
      <c r="Q637" s="13">
        <f t="shared" si="130"/>
        <v>2.4285714285714284</v>
      </c>
      <c r="R637" s="13">
        <f t="shared" si="131"/>
        <v>1.4285714285714284</v>
      </c>
    </row>
    <row r="638" spans="1:18" ht="15.75" customHeight="1" x14ac:dyDescent="0.3">
      <c r="A638" s="7" t="s">
        <v>254</v>
      </c>
      <c r="B638" s="7" t="s">
        <v>251</v>
      </c>
      <c r="C638" s="24" t="s">
        <v>47</v>
      </c>
      <c r="D638" s="24" t="s">
        <v>56</v>
      </c>
      <c r="E638" s="8">
        <v>46148</v>
      </c>
      <c r="F638" s="8">
        <v>46154</v>
      </c>
      <c r="G638" s="9">
        <v>7</v>
      </c>
      <c r="H638" s="10">
        <v>148</v>
      </c>
      <c r="I638" s="10">
        <v>63</v>
      </c>
      <c r="J638" s="10">
        <v>45</v>
      </c>
      <c r="K638" s="11">
        <f t="shared" si="132"/>
        <v>21.142857142857142</v>
      </c>
      <c r="L638" s="11">
        <f t="shared" si="133"/>
        <v>9</v>
      </c>
      <c r="M638" s="12">
        <f t="shared" si="134"/>
        <v>0.42567567567567566</v>
      </c>
      <c r="N638" s="11">
        <f t="shared" si="135"/>
        <v>6.4285714285714288</v>
      </c>
      <c r="O638" s="12">
        <f t="shared" si="136"/>
        <v>0.7142857142857143</v>
      </c>
      <c r="P638" s="12">
        <f t="shared" si="137"/>
        <v>0.30405405405405406</v>
      </c>
      <c r="Q638" s="13">
        <f t="shared" si="130"/>
        <v>9</v>
      </c>
      <c r="R638" s="13">
        <f t="shared" si="131"/>
        <v>6.4285714285714288</v>
      </c>
    </row>
    <row r="639" spans="1:18" ht="15.75" customHeight="1" x14ac:dyDescent="0.3">
      <c r="A639" s="7" t="s">
        <v>254</v>
      </c>
      <c r="B639" s="7" t="s">
        <v>252</v>
      </c>
      <c r="C639" s="24" t="s">
        <v>47</v>
      </c>
      <c r="D639" s="24" t="s">
        <v>253</v>
      </c>
      <c r="E639" s="8">
        <v>46148</v>
      </c>
      <c r="F639" s="8">
        <v>46154</v>
      </c>
      <c r="G639" s="9">
        <v>7</v>
      </c>
      <c r="H639" s="10">
        <v>84</v>
      </c>
      <c r="I639" s="10">
        <v>29</v>
      </c>
      <c r="J639" s="10">
        <v>24</v>
      </c>
      <c r="K639" s="11">
        <f t="shared" si="132"/>
        <v>12</v>
      </c>
      <c r="L639" s="11">
        <f t="shared" si="133"/>
        <v>4.1428571428571432</v>
      </c>
      <c r="M639" s="12">
        <f t="shared" si="134"/>
        <v>0.34523809523809523</v>
      </c>
      <c r="N639" s="11">
        <f t="shared" si="135"/>
        <v>3.4285714285714284</v>
      </c>
      <c r="O639" s="12">
        <f t="shared" si="136"/>
        <v>0.82758620689655171</v>
      </c>
      <c r="P639" s="12">
        <f t="shared" si="137"/>
        <v>0.2857142857142857</v>
      </c>
      <c r="Q639" s="13">
        <f t="shared" si="130"/>
        <v>4.1428571428571423</v>
      </c>
      <c r="R639" s="13">
        <f t="shared" si="131"/>
        <v>3.4285714285714284</v>
      </c>
    </row>
    <row r="640" spans="1:18" ht="15.75" customHeight="1" x14ac:dyDescent="0.3">
      <c r="A640" s="7" t="s">
        <v>254</v>
      </c>
      <c r="B640" s="7" t="s">
        <v>176</v>
      </c>
      <c r="C640" s="24" t="s">
        <v>58</v>
      </c>
      <c r="D640" s="24" t="s">
        <v>61</v>
      </c>
      <c r="E640" s="8">
        <v>46148</v>
      </c>
      <c r="F640" s="8">
        <v>46154</v>
      </c>
      <c r="G640" s="9">
        <v>7</v>
      </c>
      <c r="H640" s="10">
        <v>460</v>
      </c>
      <c r="I640" s="10">
        <v>156</v>
      </c>
      <c r="J640" s="10">
        <v>96</v>
      </c>
      <c r="K640" s="11">
        <f t="shared" si="132"/>
        <v>65.714285714285708</v>
      </c>
      <c r="L640" s="11">
        <f t="shared" si="133"/>
        <v>22.285714285714285</v>
      </c>
      <c r="M640" s="12">
        <f t="shared" si="134"/>
        <v>0.33913043478260868</v>
      </c>
      <c r="N640" s="11">
        <f t="shared" si="135"/>
        <v>13.714285714285714</v>
      </c>
      <c r="O640" s="12">
        <f t="shared" si="136"/>
        <v>0.61538461538461542</v>
      </c>
      <c r="P640" s="12">
        <f t="shared" si="137"/>
        <v>0.20869565217391303</v>
      </c>
      <c r="Q640" s="13">
        <f t="shared" si="130"/>
        <v>22.285714285714281</v>
      </c>
      <c r="R640" s="13">
        <f t="shared" si="131"/>
        <v>13.714285714285712</v>
      </c>
    </row>
    <row r="641" spans="1:18" ht="15.75" customHeight="1" x14ac:dyDescent="0.3">
      <c r="A641" s="7" t="s">
        <v>254</v>
      </c>
      <c r="B641" s="7" t="s">
        <v>177</v>
      </c>
      <c r="C641" s="24" t="s">
        <v>58</v>
      </c>
      <c r="D641" s="24" t="s">
        <v>61</v>
      </c>
      <c r="E641" s="8">
        <v>46148</v>
      </c>
      <c r="F641" s="8">
        <v>46154</v>
      </c>
      <c r="G641" s="9">
        <v>7</v>
      </c>
      <c r="H641" s="10">
        <v>1</v>
      </c>
      <c r="I641" s="10">
        <v>0</v>
      </c>
      <c r="J641" s="10">
        <v>0</v>
      </c>
      <c r="K641" s="11">
        <f t="shared" si="132"/>
        <v>0.14285714285714285</v>
      </c>
      <c r="L641" s="11">
        <f t="shared" si="133"/>
        <v>0</v>
      </c>
      <c r="M641" s="12">
        <f t="shared" si="134"/>
        <v>0</v>
      </c>
      <c r="N641" s="11">
        <f t="shared" si="135"/>
        <v>0</v>
      </c>
      <c r="O641" s="12" t="str">
        <f t="shared" si="136"/>
        <v/>
      </c>
      <c r="P641" s="12">
        <f t="shared" si="137"/>
        <v>0</v>
      </c>
      <c r="Q641" s="13">
        <f t="shared" si="130"/>
        <v>0</v>
      </c>
      <c r="R641" s="13">
        <f t="shared" si="131"/>
        <v>0</v>
      </c>
    </row>
    <row r="642" spans="1:18" ht="15.75" customHeight="1" x14ac:dyDescent="0.3">
      <c r="A642" s="7" t="s">
        <v>254</v>
      </c>
      <c r="B642" s="7" t="s">
        <v>87</v>
      </c>
      <c r="C642" s="24" t="s">
        <v>58</v>
      </c>
      <c r="D642" s="24" t="s">
        <v>64</v>
      </c>
      <c r="E642" s="8">
        <v>46148</v>
      </c>
      <c r="F642" s="8">
        <v>46154</v>
      </c>
      <c r="G642" s="9">
        <v>7</v>
      </c>
      <c r="H642" s="10">
        <v>16</v>
      </c>
      <c r="I642" s="10">
        <v>10</v>
      </c>
      <c r="J642" s="10">
        <v>8</v>
      </c>
      <c r="K642" s="11">
        <f t="shared" si="132"/>
        <v>2.2857142857142856</v>
      </c>
      <c r="L642" s="11">
        <f t="shared" si="133"/>
        <v>1.4285714285714286</v>
      </c>
      <c r="M642" s="12">
        <f t="shared" si="134"/>
        <v>0.625</v>
      </c>
      <c r="N642" s="11">
        <f t="shared" si="135"/>
        <v>1.1428571428571428</v>
      </c>
      <c r="O642" s="12">
        <f t="shared" si="136"/>
        <v>0.8</v>
      </c>
      <c r="P642" s="12">
        <f t="shared" si="137"/>
        <v>0.5</v>
      </c>
      <c r="Q642" s="13">
        <f t="shared" si="130"/>
        <v>1.4285714285714284</v>
      </c>
      <c r="R642" s="13">
        <f t="shared" si="131"/>
        <v>1.1428571428571428</v>
      </c>
    </row>
    <row r="643" spans="1:18" ht="15.75" customHeight="1" x14ac:dyDescent="0.3">
      <c r="A643" s="7" t="s">
        <v>254</v>
      </c>
      <c r="B643" s="7" t="s">
        <v>223</v>
      </c>
      <c r="C643" s="24" t="s">
        <v>58</v>
      </c>
      <c r="D643" s="24" t="s">
        <v>64</v>
      </c>
      <c r="E643" s="8">
        <v>46148</v>
      </c>
      <c r="F643" s="8">
        <v>46154</v>
      </c>
      <c r="G643" s="9">
        <v>7</v>
      </c>
      <c r="H643" s="10">
        <v>50</v>
      </c>
      <c r="I643" s="10">
        <v>14</v>
      </c>
      <c r="J643" s="10">
        <v>8</v>
      </c>
      <c r="K643" s="11">
        <f t="shared" si="132"/>
        <v>7.1428571428571432</v>
      </c>
      <c r="L643" s="11">
        <f t="shared" si="133"/>
        <v>2</v>
      </c>
      <c r="M643" s="12">
        <f t="shared" si="134"/>
        <v>0.28000000000000003</v>
      </c>
      <c r="N643" s="11">
        <f t="shared" si="135"/>
        <v>1.1428571428571428</v>
      </c>
      <c r="O643" s="12">
        <f t="shared" si="136"/>
        <v>0.5714285714285714</v>
      </c>
      <c r="P643" s="12">
        <f t="shared" si="137"/>
        <v>0.16</v>
      </c>
      <c r="Q643" s="13">
        <f t="shared" si="130"/>
        <v>2.0000000000000004</v>
      </c>
      <c r="R643" s="13">
        <f t="shared" si="131"/>
        <v>1.142857142857143</v>
      </c>
    </row>
    <row r="644" spans="1:18" ht="15.75" customHeight="1" x14ac:dyDescent="0.3">
      <c r="A644" s="7" t="s">
        <v>254</v>
      </c>
      <c r="B644" s="7" t="s">
        <v>108</v>
      </c>
      <c r="C644" s="24" t="s">
        <v>58</v>
      </c>
      <c r="D644" s="24" t="s">
        <v>66</v>
      </c>
      <c r="E644" s="8">
        <v>46148</v>
      </c>
      <c r="F644" s="8">
        <v>46154</v>
      </c>
      <c r="G644" s="9">
        <v>7</v>
      </c>
      <c r="H644" s="10">
        <v>469</v>
      </c>
      <c r="I644" s="10">
        <v>146</v>
      </c>
      <c r="J644" s="10">
        <v>80</v>
      </c>
      <c r="K644" s="11">
        <f t="shared" si="132"/>
        <v>67</v>
      </c>
      <c r="L644" s="11">
        <f t="shared" si="133"/>
        <v>20.857142857142858</v>
      </c>
      <c r="M644" s="12">
        <f t="shared" si="134"/>
        <v>0.31130063965884863</v>
      </c>
      <c r="N644" s="11">
        <f t="shared" si="135"/>
        <v>11.428571428571429</v>
      </c>
      <c r="O644" s="12">
        <f t="shared" si="136"/>
        <v>0.54794520547945202</v>
      </c>
      <c r="P644" s="12">
        <f t="shared" si="137"/>
        <v>0.17057569296375266</v>
      </c>
      <c r="Q644" s="13">
        <f t="shared" si="130"/>
        <v>20.857142857142858</v>
      </c>
      <c r="R644" s="13">
        <f t="shared" si="131"/>
        <v>11.428571428571429</v>
      </c>
    </row>
    <row r="645" spans="1:18" ht="15.75" customHeight="1" x14ac:dyDescent="0.3">
      <c r="A645" s="7" t="s">
        <v>254</v>
      </c>
      <c r="B645" s="7" t="s">
        <v>109</v>
      </c>
      <c r="C645" s="24" t="s">
        <v>58</v>
      </c>
      <c r="D645" s="24" t="s">
        <v>68</v>
      </c>
      <c r="E645" s="8">
        <v>46148</v>
      </c>
      <c r="F645" s="8">
        <v>46154</v>
      </c>
      <c r="G645" s="9">
        <v>7</v>
      </c>
      <c r="H645" s="10">
        <v>78</v>
      </c>
      <c r="I645" s="10">
        <v>33</v>
      </c>
      <c r="J645" s="10">
        <v>21</v>
      </c>
      <c r="K645" s="11">
        <f t="shared" si="132"/>
        <v>11.142857142857142</v>
      </c>
      <c r="L645" s="11">
        <f t="shared" si="133"/>
        <v>4.7142857142857144</v>
      </c>
      <c r="M645" s="12">
        <f t="shared" si="134"/>
        <v>0.42307692307692307</v>
      </c>
      <c r="N645" s="11">
        <f t="shared" si="135"/>
        <v>3</v>
      </c>
      <c r="O645" s="12">
        <f t="shared" si="136"/>
        <v>0.63636363636363635</v>
      </c>
      <c r="P645" s="12">
        <f t="shared" si="137"/>
        <v>0.26923076923076922</v>
      </c>
      <c r="Q645" s="13">
        <f t="shared" si="130"/>
        <v>4.7142857142857144</v>
      </c>
      <c r="R645" s="13">
        <f t="shared" si="131"/>
        <v>2.9999999999999996</v>
      </c>
    </row>
    <row r="646" spans="1:18" ht="15.75" customHeight="1" x14ac:dyDescent="0.3">
      <c r="A646" s="7" t="s">
        <v>254</v>
      </c>
      <c r="B646" s="7" t="s">
        <v>238</v>
      </c>
      <c r="C646" s="24" t="s">
        <v>58</v>
      </c>
      <c r="D646" s="24" t="s">
        <v>66</v>
      </c>
      <c r="E646" s="8">
        <v>46148</v>
      </c>
      <c r="F646" s="8">
        <v>46154</v>
      </c>
      <c r="G646" s="9">
        <v>7</v>
      </c>
      <c r="H646" s="10">
        <v>54</v>
      </c>
      <c r="I646" s="10">
        <v>22</v>
      </c>
      <c r="J646" s="10">
        <v>17</v>
      </c>
      <c r="K646" s="11">
        <f t="shared" si="132"/>
        <v>7.7142857142857144</v>
      </c>
      <c r="L646" s="11">
        <f t="shared" si="133"/>
        <v>3.1428571428571428</v>
      </c>
      <c r="M646" s="12">
        <f t="shared" si="134"/>
        <v>0.40740740740740738</v>
      </c>
      <c r="N646" s="11">
        <f t="shared" si="135"/>
        <v>2.4285714285714284</v>
      </c>
      <c r="O646" s="12">
        <f t="shared" si="136"/>
        <v>0.77272727272727271</v>
      </c>
      <c r="P646" s="12">
        <f t="shared" si="137"/>
        <v>0.31481481481481483</v>
      </c>
      <c r="Q646" s="13">
        <f t="shared" si="130"/>
        <v>3.1428571428571428</v>
      </c>
      <c r="R646" s="13">
        <f t="shared" si="131"/>
        <v>2.4285714285714288</v>
      </c>
    </row>
    <row r="647" spans="1:18" ht="15.75" customHeight="1" x14ac:dyDescent="0.3">
      <c r="A647" s="7" t="s">
        <v>254</v>
      </c>
      <c r="B647" s="7" t="s">
        <v>131</v>
      </c>
      <c r="C647" s="24" t="s">
        <v>58</v>
      </c>
      <c r="D647" s="24" t="s">
        <v>74</v>
      </c>
      <c r="E647" s="8">
        <v>46148</v>
      </c>
      <c r="F647" s="8">
        <v>46154</v>
      </c>
      <c r="G647" s="9">
        <v>7</v>
      </c>
      <c r="H647" s="10">
        <v>136</v>
      </c>
      <c r="I647" s="10">
        <v>68</v>
      </c>
      <c r="J647" s="10">
        <v>42</v>
      </c>
      <c r="K647" s="11">
        <f t="shared" si="132"/>
        <v>19.428571428571427</v>
      </c>
      <c r="L647" s="11">
        <f t="shared" si="133"/>
        <v>9.7142857142857135</v>
      </c>
      <c r="M647" s="12">
        <f t="shared" si="134"/>
        <v>0.5</v>
      </c>
      <c r="N647" s="11">
        <f t="shared" si="135"/>
        <v>6</v>
      </c>
      <c r="O647" s="12">
        <f t="shared" si="136"/>
        <v>0.61764705882352944</v>
      </c>
      <c r="P647" s="12">
        <f t="shared" si="137"/>
        <v>0.30882352941176472</v>
      </c>
      <c r="Q647" s="13">
        <f t="shared" si="130"/>
        <v>9.7142857142857135</v>
      </c>
      <c r="R647" s="13">
        <f t="shared" si="131"/>
        <v>6</v>
      </c>
    </row>
    <row r="648" spans="1:18" ht="15.75" customHeight="1" x14ac:dyDescent="0.3">
      <c r="A648" s="7" t="s">
        <v>254</v>
      </c>
      <c r="B648" s="7" t="s">
        <v>180</v>
      </c>
      <c r="C648" s="24" t="s">
        <v>58</v>
      </c>
      <c r="D648" s="24" t="s">
        <v>59</v>
      </c>
      <c r="E648" s="8">
        <v>46148</v>
      </c>
      <c r="F648" s="8">
        <v>46154</v>
      </c>
      <c r="G648" s="9">
        <v>7</v>
      </c>
      <c r="H648" s="10">
        <v>207</v>
      </c>
      <c r="I648" s="10">
        <v>81</v>
      </c>
      <c r="J648" s="10">
        <v>61</v>
      </c>
      <c r="K648" s="11">
        <f t="shared" si="132"/>
        <v>29.571428571428573</v>
      </c>
      <c r="L648" s="11">
        <f t="shared" si="133"/>
        <v>11.571428571428571</v>
      </c>
      <c r="M648" s="12">
        <f t="shared" si="134"/>
        <v>0.39130434782608697</v>
      </c>
      <c r="N648" s="11">
        <f t="shared" si="135"/>
        <v>8.7142857142857135</v>
      </c>
      <c r="O648" s="12">
        <f t="shared" si="136"/>
        <v>0.75308641975308643</v>
      </c>
      <c r="P648" s="12">
        <f t="shared" si="137"/>
        <v>0.29468599033816423</v>
      </c>
      <c r="Q648" s="13">
        <f t="shared" si="130"/>
        <v>11.571428571428573</v>
      </c>
      <c r="R648" s="13">
        <f t="shared" si="131"/>
        <v>8.7142857142857135</v>
      </c>
    </row>
    <row r="649" spans="1:18" ht="15.75" customHeight="1" x14ac:dyDescent="0.3">
      <c r="A649" s="7" t="s">
        <v>255</v>
      </c>
      <c r="B649" s="7" t="s">
        <v>79</v>
      </c>
      <c r="C649" s="24" t="s">
        <v>34</v>
      </c>
      <c r="D649" s="24" t="s">
        <v>35</v>
      </c>
      <c r="E649" s="8">
        <v>46155</v>
      </c>
      <c r="F649" s="8">
        <v>46162</v>
      </c>
      <c r="G649" s="9">
        <v>8</v>
      </c>
      <c r="H649" s="10">
        <v>534</v>
      </c>
      <c r="I649" s="10">
        <v>141</v>
      </c>
      <c r="J649" s="10">
        <v>85</v>
      </c>
      <c r="K649" s="11">
        <f t="shared" si="132"/>
        <v>66.75</v>
      </c>
      <c r="L649" s="11">
        <f t="shared" si="133"/>
        <v>17.625</v>
      </c>
      <c r="M649" s="12">
        <f t="shared" si="134"/>
        <v>0.2640449438202247</v>
      </c>
      <c r="N649" s="11">
        <f t="shared" si="135"/>
        <v>10.625</v>
      </c>
      <c r="O649" s="12">
        <f t="shared" si="136"/>
        <v>0.6028368794326241</v>
      </c>
      <c r="P649" s="12">
        <f t="shared" si="137"/>
        <v>0.15917602996254682</v>
      </c>
      <c r="Q649" s="13">
        <f t="shared" si="130"/>
        <v>17.625</v>
      </c>
      <c r="R649" s="13">
        <f t="shared" si="131"/>
        <v>10.625</v>
      </c>
    </row>
    <row r="650" spans="1:18" ht="15.75" customHeight="1" x14ac:dyDescent="0.3">
      <c r="A650" s="7" t="s">
        <v>255</v>
      </c>
      <c r="B650" s="7" t="s">
        <v>81</v>
      </c>
      <c r="C650" s="24" t="s">
        <v>34</v>
      </c>
      <c r="D650" s="24" t="s">
        <v>35</v>
      </c>
      <c r="E650" s="8">
        <v>46155</v>
      </c>
      <c r="F650" s="8">
        <v>46162</v>
      </c>
      <c r="G650" s="9">
        <v>8</v>
      </c>
      <c r="H650" s="10">
        <v>233</v>
      </c>
      <c r="I650" s="10">
        <v>52</v>
      </c>
      <c r="J650" s="10">
        <v>36</v>
      </c>
      <c r="K650" s="11">
        <f t="shared" si="132"/>
        <v>29.125</v>
      </c>
      <c r="L650" s="11">
        <f t="shared" si="133"/>
        <v>6.5</v>
      </c>
      <c r="M650" s="12">
        <f t="shared" si="134"/>
        <v>0.22317596566523606</v>
      </c>
      <c r="N650" s="11">
        <f t="shared" si="135"/>
        <v>4.5</v>
      </c>
      <c r="O650" s="12">
        <f t="shared" si="136"/>
        <v>0.69230769230769229</v>
      </c>
      <c r="P650" s="12">
        <f t="shared" si="137"/>
        <v>0.15450643776824036</v>
      </c>
      <c r="Q650" s="13">
        <f t="shared" si="130"/>
        <v>6.5</v>
      </c>
      <c r="R650" s="13">
        <f t="shared" si="131"/>
        <v>4.5</v>
      </c>
    </row>
    <row r="651" spans="1:18" ht="15.75" customHeight="1" x14ac:dyDescent="0.3">
      <c r="A651" s="7" t="s">
        <v>255</v>
      </c>
      <c r="B651" s="7" t="s">
        <v>90</v>
      </c>
      <c r="C651" s="24" t="s">
        <v>34</v>
      </c>
      <c r="D651" s="24" t="s">
        <v>91</v>
      </c>
      <c r="E651" s="8">
        <v>46155</v>
      </c>
      <c r="F651" s="8">
        <v>46162</v>
      </c>
      <c r="G651" s="9">
        <v>8</v>
      </c>
      <c r="H651" s="10">
        <v>104</v>
      </c>
      <c r="I651" s="10">
        <v>38</v>
      </c>
      <c r="J651" s="10">
        <v>24</v>
      </c>
      <c r="K651" s="11">
        <f t="shared" si="132"/>
        <v>13</v>
      </c>
      <c r="L651" s="11">
        <f t="shared" si="133"/>
        <v>4.75</v>
      </c>
      <c r="M651" s="12">
        <f t="shared" si="134"/>
        <v>0.36538461538461536</v>
      </c>
      <c r="N651" s="11">
        <f t="shared" si="135"/>
        <v>3</v>
      </c>
      <c r="O651" s="12">
        <f t="shared" si="136"/>
        <v>0.63157894736842102</v>
      </c>
      <c r="P651" s="12">
        <f t="shared" si="137"/>
        <v>0.23076923076923078</v>
      </c>
      <c r="Q651" s="13">
        <f t="shared" si="130"/>
        <v>4.75</v>
      </c>
      <c r="R651" s="13">
        <f t="shared" si="131"/>
        <v>3</v>
      </c>
    </row>
    <row r="652" spans="1:18" ht="15.75" customHeight="1" x14ac:dyDescent="0.3">
      <c r="A652" s="7" t="s">
        <v>255</v>
      </c>
      <c r="B652" s="7" t="s">
        <v>228</v>
      </c>
      <c r="C652" s="24" t="s">
        <v>34</v>
      </c>
      <c r="D652" s="24" t="s">
        <v>39</v>
      </c>
      <c r="E652" s="8">
        <v>46155</v>
      </c>
      <c r="F652" s="8">
        <v>46162</v>
      </c>
      <c r="G652" s="9">
        <v>8</v>
      </c>
      <c r="H652" s="10">
        <v>76</v>
      </c>
      <c r="I652" s="10">
        <v>10</v>
      </c>
      <c r="J652" s="10">
        <v>5</v>
      </c>
      <c r="K652" s="11">
        <f t="shared" si="132"/>
        <v>9.5</v>
      </c>
      <c r="L652" s="11">
        <f t="shared" si="133"/>
        <v>1.25</v>
      </c>
      <c r="M652" s="12">
        <f t="shared" si="134"/>
        <v>0.13157894736842105</v>
      </c>
      <c r="N652" s="11">
        <f t="shared" si="135"/>
        <v>0.625</v>
      </c>
      <c r="O652" s="12">
        <f t="shared" si="136"/>
        <v>0.5</v>
      </c>
      <c r="P652" s="12">
        <f t="shared" si="137"/>
        <v>6.5789473684210523E-2</v>
      </c>
      <c r="Q652" s="13">
        <f t="shared" si="130"/>
        <v>1.25</v>
      </c>
      <c r="R652" s="13">
        <f t="shared" si="131"/>
        <v>0.625</v>
      </c>
    </row>
    <row r="653" spans="1:18" ht="15.75" customHeight="1" x14ac:dyDescent="0.3">
      <c r="A653" s="7" t="s">
        <v>255</v>
      </c>
      <c r="B653" s="7" t="s">
        <v>229</v>
      </c>
      <c r="C653" s="24" t="s">
        <v>34</v>
      </c>
      <c r="D653" s="24" t="s">
        <v>39</v>
      </c>
      <c r="E653" s="8">
        <v>46155</v>
      </c>
      <c r="F653" s="8">
        <v>46162</v>
      </c>
      <c r="G653" s="9">
        <v>8</v>
      </c>
      <c r="H653" s="10">
        <v>5</v>
      </c>
      <c r="I653" s="10">
        <v>0</v>
      </c>
      <c r="J653" s="10">
        <v>0</v>
      </c>
      <c r="K653" s="11">
        <f t="shared" si="132"/>
        <v>0.625</v>
      </c>
      <c r="L653" s="11">
        <f t="shared" si="133"/>
        <v>0</v>
      </c>
      <c r="M653" s="12">
        <f t="shared" si="134"/>
        <v>0</v>
      </c>
      <c r="N653" s="11">
        <f t="shared" si="135"/>
        <v>0</v>
      </c>
      <c r="O653" s="12" t="str">
        <f t="shared" si="136"/>
        <v/>
      </c>
      <c r="P653" s="12">
        <f t="shared" si="137"/>
        <v>0</v>
      </c>
      <c r="Q653" s="13">
        <f t="shared" si="130"/>
        <v>0</v>
      </c>
      <c r="R653" s="13">
        <f t="shared" si="131"/>
        <v>0</v>
      </c>
    </row>
    <row r="654" spans="1:18" ht="15.75" customHeight="1" x14ac:dyDescent="0.3">
      <c r="A654" s="7" t="s">
        <v>255</v>
      </c>
      <c r="B654" s="7" t="s">
        <v>256</v>
      </c>
      <c r="C654" s="24" t="s">
        <v>34</v>
      </c>
      <c r="D654" s="24" t="s">
        <v>44</v>
      </c>
      <c r="E654" s="8">
        <v>46155</v>
      </c>
      <c r="F654" s="8">
        <v>46162</v>
      </c>
      <c r="G654" s="9">
        <v>8</v>
      </c>
      <c r="H654" s="10">
        <v>134</v>
      </c>
      <c r="I654" s="10">
        <v>20</v>
      </c>
      <c r="J654" s="10">
        <v>16</v>
      </c>
      <c r="K654" s="11">
        <f t="shared" si="132"/>
        <v>16.75</v>
      </c>
      <c r="L654" s="11">
        <f t="shared" si="133"/>
        <v>2.5</v>
      </c>
      <c r="M654" s="12">
        <f t="shared" si="134"/>
        <v>0.14925373134328357</v>
      </c>
      <c r="N654" s="11">
        <f t="shared" si="135"/>
        <v>2</v>
      </c>
      <c r="O654" s="12">
        <f t="shared" si="136"/>
        <v>0.8</v>
      </c>
      <c r="P654" s="12">
        <f t="shared" si="137"/>
        <v>0.11940298507462686</v>
      </c>
      <c r="Q654" s="13">
        <f t="shared" si="130"/>
        <v>2.5</v>
      </c>
      <c r="R654" s="13">
        <f t="shared" si="131"/>
        <v>2</v>
      </c>
    </row>
    <row r="655" spans="1:18" ht="15.75" customHeight="1" x14ac:dyDescent="0.3">
      <c r="A655" s="7" t="s">
        <v>255</v>
      </c>
      <c r="B655" s="7" t="s">
        <v>257</v>
      </c>
      <c r="C655" s="24" t="s">
        <v>34</v>
      </c>
      <c r="D655" s="24" t="s">
        <v>447</v>
      </c>
      <c r="E655" s="8">
        <v>46155</v>
      </c>
      <c r="F655" s="8">
        <v>46162</v>
      </c>
      <c r="G655" s="9">
        <v>8</v>
      </c>
      <c r="H655" s="10"/>
      <c r="I655" s="10"/>
      <c r="J655" s="10"/>
      <c r="K655" s="11">
        <f t="shared" si="132"/>
        <v>0</v>
      </c>
      <c r="L655" s="11">
        <f t="shared" si="133"/>
        <v>0</v>
      </c>
      <c r="M655" s="12" t="str">
        <f t="shared" si="134"/>
        <v/>
      </c>
      <c r="N655" s="11">
        <f t="shared" si="135"/>
        <v>0</v>
      </c>
      <c r="O655" s="12" t="str">
        <f t="shared" si="136"/>
        <v/>
      </c>
      <c r="P655" s="12" t="str">
        <f t="shared" si="137"/>
        <v/>
      </c>
    </row>
    <row r="656" spans="1:18" ht="15.75" customHeight="1" x14ac:dyDescent="0.3">
      <c r="A656" s="7" t="s">
        <v>255</v>
      </c>
      <c r="B656" s="7" t="s">
        <v>184</v>
      </c>
      <c r="C656" s="24" t="s">
        <v>47</v>
      </c>
      <c r="D656" s="24" t="s">
        <v>48</v>
      </c>
      <c r="E656" s="8">
        <v>46155</v>
      </c>
      <c r="F656" s="8">
        <v>46162</v>
      </c>
      <c r="G656" s="9">
        <v>8</v>
      </c>
      <c r="H656" s="10">
        <v>554</v>
      </c>
      <c r="I656" s="10">
        <v>213</v>
      </c>
      <c r="J656" s="10">
        <v>162</v>
      </c>
      <c r="K656" s="11">
        <f t="shared" si="132"/>
        <v>69.25</v>
      </c>
      <c r="L656" s="11">
        <f t="shared" si="133"/>
        <v>26.625</v>
      </c>
      <c r="M656" s="12">
        <f t="shared" si="134"/>
        <v>0.3844765342960289</v>
      </c>
      <c r="N656" s="11">
        <f t="shared" si="135"/>
        <v>20.25</v>
      </c>
      <c r="O656" s="12">
        <f t="shared" si="136"/>
        <v>0.76056338028169013</v>
      </c>
      <c r="P656" s="12">
        <f t="shared" si="137"/>
        <v>0.29241877256317689</v>
      </c>
      <c r="Q656" s="13">
        <f t="shared" ref="Q656:Q665" si="138">IFERROR((I656/H656)*K656,"")</f>
        <v>26.625</v>
      </c>
      <c r="R656" s="13">
        <f t="shared" ref="R656:R665" si="139">IFERROR((J656/H656)*K656,"")</f>
        <v>20.25</v>
      </c>
    </row>
    <row r="657" spans="1:18" ht="15.75" customHeight="1" x14ac:dyDescent="0.3">
      <c r="A657" s="7" t="s">
        <v>255</v>
      </c>
      <c r="B657" s="7" t="s">
        <v>185</v>
      </c>
      <c r="C657" s="24" t="s">
        <v>47</v>
      </c>
      <c r="D657" s="24" t="s">
        <v>48</v>
      </c>
      <c r="E657" s="8">
        <v>46155</v>
      </c>
      <c r="F657" s="8">
        <v>46162</v>
      </c>
      <c r="G657" s="9">
        <v>8</v>
      </c>
      <c r="H657" s="10">
        <v>12</v>
      </c>
      <c r="I657" s="10">
        <v>7</v>
      </c>
      <c r="J657" s="10">
        <v>6</v>
      </c>
      <c r="K657" s="11">
        <f t="shared" si="132"/>
        <v>1.5</v>
      </c>
      <c r="L657" s="11">
        <f t="shared" si="133"/>
        <v>0.875</v>
      </c>
      <c r="M657" s="12">
        <f t="shared" si="134"/>
        <v>0.58333333333333337</v>
      </c>
      <c r="N657" s="11">
        <f t="shared" si="135"/>
        <v>0.75</v>
      </c>
      <c r="O657" s="12">
        <f t="shared" si="136"/>
        <v>0.8571428571428571</v>
      </c>
      <c r="P657" s="12">
        <f t="shared" si="137"/>
        <v>0.5</v>
      </c>
      <c r="Q657" s="13">
        <f t="shared" si="138"/>
        <v>0.875</v>
      </c>
      <c r="R657" s="13">
        <f t="shared" si="139"/>
        <v>0.75</v>
      </c>
    </row>
    <row r="658" spans="1:18" ht="15.75" customHeight="1" x14ac:dyDescent="0.3">
      <c r="A658" s="7" t="s">
        <v>255</v>
      </c>
      <c r="B658" s="7" t="s">
        <v>50</v>
      </c>
      <c r="C658" s="24" t="s">
        <v>47</v>
      </c>
      <c r="D658" s="24" t="s">
        <v>48</v>
      </c>
      <c r="E658" s="8">
        <v>46155</v>
      </c>
      <c r="F658" s="8">
        <v>46162</v>
      </c>
      <c r="G658" s="9">
        <v>8</v>
      </c>
      <c r="H658" s="10">
        <v>142</v>
      </c>
      <c r="I658" s="10">
        <v>30</v>
      </c>
      <c r="J658" s="10">
        <v>27</v>
      </c>
      <c r="K658" s="11">
        <f t="shared" si="132"/>
        <v>17.75</v>
      </c>
      <c r="L658" s="11">
        <f t="shared" si="133"/>
        <v>3.75</v>
      </c>
      <c r="M658" s="12">
        <f t="shared" si="134"/>
        <v>0.21126760563380281</v>
      </c>
      <c r="N658" s="11">
        <f t="shared" si="135"/>
        <v>3.375</v>
      </c>
      <c r="O658" s="12">
        <f t="shared" si="136"/>
        <v>0.9</v>
      </c>
      <c r="P658" s="12">
        <f t="shared" si="137"/>
        <v>0.19014084507042253</v>
      </c>
      <c r="Q658" s="13">
        <f t="shared" si="138"/>
        <v>3.75</v>
      </c>
      <c r="R658" s="13">
        <f t="shared" si="139"/>
        <v>3.375</v>
      </c>
    </row>
    <row r="659" spans="1:18" ht="15.75" customHeight="1" x14ac:dyDescent="0.3">
      <c r="A659" s="7" t="s">
        <v>255</v>
      </c>
      <c r="B659" s="7" t="s">
        <v>51</v>
      </c>
      <c r="C659" s="24" t="s">
        <v>47</v>
      </c>
      <c r="D659" s="24" t="s">
        <v>48</v>
      </c>
      <c r="E659" s="8">
        <v>46155</v>
      </c>
      <c r="F659" s="8">
        <v>46162</v>
      </c>
      <c r="G659" s="9">
        <v>8</v>
      </c>
      <c r="H659" s="10">
        <v>13</v>
      </c>
      <c r="I659" s="10">
        <v>0</v>
      </c>
      <c r="J659" s="10">
        <v>0</v>
      </c>
      <c r="K659" s="11">
        <f t="shared" si="132"/>
        <v>1.625</v>
      </c>
      <c r="L659" s="11">
        <f t="shared" si="133"/>
        <v>0</v>
      </c>
      <c r="M659" s="12">
        <f t="shared" si="134"/>
        <v>0</v>
      </c>
      <c r="N659" s="11">
        <f t="shared" si="135"/>
        <v>0</v>
      </c>
      <c r="O659" s="12" t="str">
        <f t="shared" si="136"/>
        <v/>
      </c>
      <c r="P659" s="12">
        <f t="shared" si="137"/>
        <v>0</v>
      </c>
      <c r="Q659" s="13">
        <f t="shared" si="138"/>
        <v>0</v>
      </c>
      <c r="R659" s="13">
        <f t="shared" si="139"/>
        <v>0</v>
      </c>
    </row>
    <row r="660" spans="1:18" ht="15.75" customHeight="1" x14ac:dyDescent="0.3">
      <c r="A660" s="7" t="s">
        <v>255</v>
      </c>
      <c r="B660" s="7" t="s">
        <v>258</v>
      </c>
      <c r="C660" s="24" t="s">
        <v>47</v>
      </c>
      <c r="D660" s="24" t="s">
        <v>53</v>
      </c>
      <c r="E660" s="8">
        <v>46155</v>
      </c>
      <c r="F660" s="8">
        <v>46162</v>
      </c>
      <c r="G660" s="9">
        <v>8</v>
      </c>
      <c r="H660" s="10">
        <v>290</v>
      </c>
      <c r="I660" s="10">
        <v>88</v>
      </c>
      <c r="J660" s="10">
        <v>64</v>
      </c>
      <c r="K660" s="11">
        <f t="shared" si="132"/>
        <v>36.25</v>
      </c>
      <c r="L660" s="11">
        <f t="shared" si="133"/>
        <v>11</v>
      </c>
      <c r="M660" s="12">
        <f t="shared" si="134"/>
        <v>0.30344827586206896</v>
      </c>
      <c r="N660" s="11">
        <f t="shared" si="135"/>
        <v>8</v>
      </c>
      <c r="O660" s="12">
        <f t="shared" si="136"/>
        <v>0.72727272727272729</v>
      </c>
      <c r="P660" s="12">
        <f t="shared" si="137"/>
        <v>0.22068965517241379</v>
      </c>
      <c r="Q660" s="13">
        <f t="shared" si="138"/>
        <v>11</v>
      </c>
      <c r="R660" s="13">
        <f t="shared" si="139"/>
        <v>8</v>
      </c>
    </row>
    <row r="661" spans="1:18" ht="15.75" customHeight="1" x14ac:dyDescent="0.3">
      <c r="A661" s="7" t="s">
        <v>255</v>
      </c>
      <c r="B661" s="7" t="s">
        <v>216</v>
      </c>
      <c r="C661" s="24" t="s">
        <v>47</v>
      </c>
      <c r="D661" s="24" t="s">
        <v>53</v>
      </c>
      <c r="E661" s="8">
        <v>46155</v>
      </c>
      <c r="F661" s="8">
        <v>46162</v>
      </c>
      <c r="G661" s="9">
        <v>8</v>
      </c>
      <c r="H661" s="10">
        <v>136</v>
      </c>
      <c r="I661" s="10">
        <v>48</v>
      </c>
      <c r="J661" s="10">
        <v>32</v>
      </c>
      <c r="K661" s="11">
        <f t="shared" si="132"/>
        <v>17</v>
      </c>
      <c r="L661" s="11">
        <f t="shared" si="133"/>
        <v>6</v>
      </c>
      <c r="M661" s="12">
        <f t="shared" si="134"/>
        <v>0.35294117647058826</v>
      </c>
      <c r="N661" s="11">
        <f t="shared" si="135"/>
        <v>4</v>
      </c>
      <c r="O661" s="12">
        <f t="shared" si="136"/>
        <v>0.66666666666666663</v>
      </c>
      <c r="P661" s="12">
        <f t="shared" si="137"/>
        <v>0.23529411764705882</v>
      </c>
      <c r="Q661" s="13">
        <f t="shared" si="138"/>
        <v>6</v>
      </c>
      <c r="R661" s="13">
        <f t="shared" si="139"/>
        <v>4</v>
      </c>
    </row>
    <row r="662" spans="1:18" ht="15.75" customHeight="1" x14ac:dyDescent="0.3">
      <c r="A662" s="7" t="s">
        <v>255</v>
      </c>
      <c r="B662" s="7" t="s">
        <v>158</v>
      </c>
      <c r="C662" s="24" t="s">
        <v>47</v>
      </c>
      <c r="D662" s="24" t="s">
        <v>53</v>
      </c>
      <c r="E662" s="8">
        <v>46155</v>
      </c>
      <c r="F662" s="8">
        <v>46162</v>
      </c>
      <c r="G662" s="9">
        <v>8</v>
      </c>
      <c r="H662" s="10">
        <v>69</v>
      </c>
      <c r="I662" s="10">
        <v>22</v>
      </c>
      <c r="J662" s="10">
        <v>16</v>
      </c>
      <c r="K662" s="11">
        <f t="shared" si="132"/>
        <v>8.625</v>
      </c>
      <c r="L662" s="11">
        <f t="shared" si="133"/>
        <v>2.75</v>
      </c>
      <c r="M662" s="12">
        <f t="shared" si="134"/>
        <v>0.3188405797101449</v>
      </c>
      <c r="N662" s="11">
        <f t="shared" si="135"/>
        <v>2</v>
      </c>
      <c r="O662" s="12">
        <f t="shared" si="136"/>
        <v>0.72727272727272729</v>
      </c>
      <c r="P662" s="12">
        <f t="shared" si="137"/>
        <v>0.2318840579710145</v>
      </c>
      <c r="Q662" s="13">
        <f t="shared" si="138"/>
        <v>2.7499999999999996</v>
      </c>
      <c r="R662" s="13">
        <f t="shared" si="139"/>
        <v>2</v>
      </c>
    </row>
    <row r="663" spans="1:18" ht="15.75" customHeight="1" x14ac:dyDescent="0.3">
      <c r="A663" s="7" t="s">
        <v>255</v>
      </c>
      <c r="B663" s="7" t="s">
        <v>157</v>
      </c>
      <c r="C663" s="24" t="s">
        <v>47</v>
      </c>
      <c r="D663" s="24" t="s">
        <v>53</v>
      </c>
      <c r="E663" s="8">
        <v>46155</v>
      </c>
      <c r="F663" s="8">
        <v>46162</v>
      </c>
      <c r="G663" s="9">
        <v>8</v>
      </c>
      <c r="H663" s="10">
        <v>55</v>
      </c>
      <c r="I663" s="10">
        <v>21</v>
      </c>
      <c r="J663" s="10">
        <v>14</v>
      </c>
      <c r="K663" s="11">
        <f t="shared" si="132"/>
        <v>6.875</v>
      </c>
      <c r="L663" s="11">
        <f t="shared" si="133"/>
        <v>2.625</v>
      </c>
      <c r="M663" s="12">
        <f t="shared" si="134"/>
        <v>0.38181818181818183</v>
      </c>
      <c r="N663" s="11">
        <f t="shared" si="135"/>
        <v>1.75</v>
      </c>
      <c r="O663" s="12">
        <f t="shared" si="136"/>
        <v>0.66666666666666663</v>
      </c>
      <c r="P663" s="12">
        <f t="shared" si="137"/>
        <v>0.25454545454545452</v>
      </c>
      <c r="Q663" s="13">
        <f t="shared" si="138"/>
        <v>2.625</v>
      </c>
      <c r="R663" s="13">
        <f t="shared" si="139"/>
        <v>1.7499999999999998</v>
      </c>
    </row>
    <row r="664" spans="1:18" ht="15.75" customHeight="1" x14ac:dyDescent="0.3">
      <c r="A664" s="7" t="s">
        <v>255</v>
      </c>
      <c r="B664" s="7" t="s">
        <v>102</v>
      </c>
      <c r="C664" s="24" t="s">
        <v>58</v>
      </c>
      <c r="D664" s="24" t="s">
        <v>103</v>
      </c>
      <c r="E664" s="8">
        <v>46155</v>
      </c>
      <c r="F664" s="8">
        <v>46162</v>
      </c>
      <c r="G664" s="9">
        <v>8</v>
      </c>
      <c r="H664" s="10">
        <v>253</v>
      </c>
      <c r="I664" s="10">
        <v>68</v>
      </c>
      <c r="J664" s="10">
        <v>35</v>
      </c>
      <c r="K664" s="11">
        <f t="shared" si="132"/>
        <v>31.625</v>
      </c>
      <c r="L664" s="11">
        <f t="shared" si="133"/>
        <v>8.5</v>
      </c>
      <c r="M664" s="12">
        <f t="shared" si="134"/>
        <v>0.26877470355731226</v>
      </c>
      <c r="N664" s="11">
        <f t="shared" si="135"/>
        <v>4.375</v>
      </c>
      <c r="O664" s="12">
        <f t="shared" si="136"/>
        <v>0.51470588235294112</v>
      </c>
      <c r="P664" s="12">
        <f t="shared" si="137"/>
        <v>0.13833992094861661</v>
      </c>
      <c r="Q664" s="13">
        <f t="shared" si="138"/>
        <v>8.5</v>
      </c>
      <c r="R664" s="13">
        <f t="shared" si="139"/>
        <v>4.375</v>
      </c>
    </row>
    <row r="665" spans="1:18" ht="15.75" customHeight="1" x14ac:dyDescent="0.3">
      <c r="A665" s="7" t="s">
        <v>255</v>
      </c>
      <c r="B665" s="7" t="s">
        <v>106</v>
      </c>
      <c r="C665" s="24" t="s">
        <v>58</v>
      </c>
      <c r="D665" s="24" t="s">
        <v>107</v>
      </c>
      <c r="E665" s="8">
        <v>46155</v>
      </c>
      <c r="F665" s="8">
        <v>46162</v>
      </c>
      <c r="G665" s="9">
        <v>8</v>
      </c>
      <c r="H665" s="10">
        <v>5</v>
      </c>
      <c r="I665" s="10">
        <v>2</v>
      </c>
      <c r="J665" s="10">
        <v>1</v>
      </c>
      <c r="K665" s="11">
        <f t="shared" si="132"/>
        <v>0.625</v>
      </c>
      <c r="L665" s="11">
        <f t="shared" si="133"/>
        <v>0.25</v>
      </c>
      <c r="M665" s="12">
        <f t="shared" si="134"/>
        <v>0.4</v>
      </c>
      <c r="N665" s="11">
        <f t="shared" si="135"/>
        <v>0.125</v>
      </c>
      <c r="O665" s="12">
        <f t="shared" si="136"/>
        <v>0.5</v>
      </c>
      <c r="P665" s="12">
        <f t="shared" si="137"/>
        <v>0.2</v>
      </c>
      <c r="Q665" s="13">
        <f t="shared" si="138"/>
        <v>0.25</v>
      </c>
      <c r="R665" s="13">
        <f t="shared" si="139"/>
        <v>0.125</v>
      </c>
    </row>
    <row r="666" spans="1:18" ht="15.75" customHeight="1" x14ac:dyDescent="0.3">
      <c r="A666" s="7" t="s">
        <v>255</v>
      </c>
      <c r="B666" s="7" t="s">
        <v>259</v>
      </c>
      <c r="C666" s="24" t="s">
        <v>58</v>
      </c>
      <c r="D666" s="24" t="s">
        <v>193</v>
      </c>
      <c r="E666" s="8">
        <v>46155</v>
      </c>
      <c r="F666" s="8">
        <v>46162</v>
      </c>
      <c r="G666" s="9">
        <v>8</v>
      </c>
      <c r="H666" s="10"/>
      <c r="I666" s="10"/>
      <c r="J666" s="10"/>
      <c r="K666" s="11">
        <f t="shared" si="132"/>
        <v>0</v>
      </c>
      <c r="L666" s="11">
        <f t="shared" si="133"/>
        <v>0</v>
      </c>
      <c r="M666" s="12" t="str">
        <f t="shared" si="134"/>
        <v/>
      </c>
      <c r="N666" s="11">
        <f t="shared" si="135"/>
        <v>0</v>
      </c>
      <c r="O666" s="12" t="str">
        <f t="shared" si="136"/>
        <v/>
      </c>
      <c r="P666" s="12" t="str">
        <f t="shared" si="137"/>
        <v/>
      </c>
    </row>
    <row r="667" spans="1:18" ht="15.75" customHeight="1" x14ac:dyDescent="0.3">
      <c r="A667" s="7" t="s">
        <v>255</v>
      </c>
      <c r="B667" s="7" t="s">
        <v>244</v>
      </c>
      <c r="C667" s="24" t="s">
        <v>58</v>
      </c>
      <c r="D667" s="24" t="s">
        <v>103</v>
      </c>
      <c r="E667" s="8">
        <v>46155</v>
      </c>
      <c r="F667" s="8">
        <v>46162</v>
      </c>
      <c r="G667" s="9">
        <v>8</v>
      </c>
      <c r="H667" s="10">
        <v>76</v>
      </c>
      <c r="I667" s="10">
        <v>12</v>
      </c>
      <c r="J667" s="10">
        <v>9</v>
      </c>
      <c r="K667" s="11">
        <f t="shared" si="132"/>
        <v>9.5</v>
      </c>
      <c r="L667" s="11">
        <f t="shared" si="133"/>
        <v>1.5</v>
      </c>
      <c r="M667" s="12">
        <f t="shared" si="134"/>
        <v>0.15789473684210525</v>
      </c>
      <c r="N667" s="11">
        <f t="shared" si="135"/>
        <v>1.125</v>
      </c>
      <c r="O667" s="12">
        <f t="shared" si="136"/>
        <v>0.75</v>
      </c>
      <c r="P667" s="12">
        <f t="shared" si="137"/>
        <v>0.11842105263157894</v>
      </c>
      <c r="Q667" s="13">
        <f t="shared" ref="Q667:Q677" si="140">IFERROR((I667/H667)*K667,"")</f>
        <v>1.5</v>
      </c>
      <c r="R667" s="13">
        <f t="shared" ref="R667:R677" si="141">IFERROR((J667/H667)*K667,"")</f>
        <v>1.125</v>
      </c>
    </row>
    <row r="668" spans="1:18" ht="15.75" customHeight="1" x14ac:dyDescent="0.3">
      <c r="A668" s="7" t="s">
        <v>255</v>
      </c>
      <c r="B668" s="7" t="s">
        <v>105</v>
      </c>
      <c r="C668" s="24" t="s">
        <v>58</v>
      </c>
      <c r="D668" s="24" t="s">
        <v>61</v>
      </c>
      <c r="E668" s="8">
        <v>46155</v>
      </c>
      <c r="F668" s="8">
        <v>46162</v>
      </c>
      <c r="G668" s="9">
        <v>8</v>
      </c>
      <c r="H668" s="10">
        <v>105</v>
      </c>
      <c r="I668" s="10">
        <v>26</v>
      </c>
      <c r="J668" s="10">
        <v>24</v>
      </c>
      <c r="K668" s="11">
        <f t="shared" si="132"/>
        <v>13.125</v>
      </c>
      <c r="L668" s="11">
        <f t="shared" si="133"/>
        <v>3.25</v>
      </c>
      <c r="M668" s="12">
        <f t="shared" si="134"/>
        <v>0.24761904761904763</v>
      </c>
      <c r="N668" s="11">
        <f t="shared" si="135"/>
        <v>3</v>
      </c>
      <c r="O668" s="12">
        <f t="shared" si="136"/>
        <v>0.92307692307692313</v>
      </c>
      <c r="P668" s="12">
        <f t="shared" si="137"/>
        <v>0.22857142857142856</v>
      </c>
      <c r="Q668" s="13">
        <f t="shared" si="140"/>
        <v>3.25</v>
      </c>
      <c r="R668" s="13">
        <f t="shared" si="141"/>
        <v>3</v>
      </c>
    </row>
    <row r="669" spans="1:18" ht="15.75" customHeight="1" x14ac:dyDescent="0.3">
      <c r="A669" s="7" t="s">
        <v>255</v>
      </c>
      <c r="B669" s="7" t="s">
        <v>209</v>
      </c>
      <c r="C669" s="24" t="s">
        <v>58</v>
      </c>
      <c r="D669" s="24" t="s">
        <v>107</v>
      </c>
      <c r="E669" s="8">
        <v>46155</v>
      </c>
      <c r="F669" s="8">
        <v>46162</v>
      </c>
      <c r="G669" s="9">
        <v>8</v>
      </c>
      <c r="H669" s="10">
        <v>116</v>
      </c>
      <c r="I669" s="10">
        <v>56</v>
      </c>
      <c r="J669" s="10">
        <v>47</v>
      </c>
      <c r="K669" s="11">
        <f t="shared" si="132"/>
        <v>14.5</v>
      </c>
      <c r="L669" s="11">
        <f t="shared" si="133"/>
        <v>7</v>
      </c>
      <c r="M669" s="12">
        <f t="shared" si="134"/>
        <v>0.48275862068965519</v>
      </c>
      <c r="N669" s="11">
        <f t="shared" si="135"/>
        <v>5.875</v>
      </c>
      <c r="O669" s="12">
        <f t="shared" si="136"/>
        <v>0.8392857142857143</v>
      </c>
      <c r="P669" s="12">
        <f t="shared" si="137"/>
        <v>0.40517241379310343</v>
      </c>
      <c r="Q669" s="13">
        <f t="shared" si="140"/>
        <v>7</v>
      </c>
      <c r="R669" s="13">
        <f t="shared" si="141"/>
        <v>5.875</v>
      </c>
    </row>
    <row r="670" spans="1:18" ht="15.75" customHeight="1" x14ac:dyDescent="0.3">
      <c r="A670" s="7" t="s">
        <v>255</v>
      </c>
      <c r="B670" s="7" t="s">
        <v>196</v>
      </c>
      <c r="C670" s="24" t="s">
        <v>58</v>
      </c>
      <c r="D670" s="24" t="s">
        <v>66</v>
      </c>
      <c r="E670" s="8">
        <v>46155</v>
      </c>
      <c r="F670" s="8">
        <v>46162</v>
      </c>
      <c r="G670" s="9">
        <v>8</v>
      </c>
      <c r="H670" s="10">
        <v>157</v>
      </c>
      <c r="I670" s="10">
        <v>53</v>
      </c>
      <c r="J670" s="10">
        <v>35</v>
      </c>
      <c r="K670" s="11">
        <f t="shared" si="132"/>
        <v>19.625</v>
      </c>
      <c r="L670" s="11">
        <f t="shared" si="133"/>
        <v>6.625</v>
      </c>
      <c r="M670" s="12">
        <f t="shared" si="134"/>
        <v>0.33757961783439489</v>
      </c>
      <c r="N670" s="11">
        <f t="shared" si="135"/>
        <v>4.375</v>
      </c>
      <c r="O670" s="12">
        <f t="shared" si="136"/>
        <v>0.660377358490566</v>
      </c>
      <c r="P670" s="12">
        <f t="shared" si="137"/>
        <v>0.22292993630573249</v>
      </c>
      <c r="Q670" s="13">
        <f t="shared" si="140"/>
        <v>6.625</v>
      </c>
      <c r="R670" s="13">
        <f t="shared" si="141"/>
        <v>4.375</v>
      </c>
    </row>
    <row r="671" spans="1:18" ht="15.75" customHeight="1" x14ac:dyDescent="0.3">
      <c r="A671" s="7" t="s">
        <v>255</v>
      </c>
      <c r="B671" s="7" t="s">
        <v>197</v>
      </c>
      <c r="C671" s="24" t="s">
        <v>58</v>
      </c>
      <c r="D671" s="24" t="s">
        <v>68</v>
      </c>
      <c r="E671" s="8">
        <v>46155</v>
      </c>
      <c r="F671" s="8">
        <v>46162</v>
      </c>
      <c r="G671" s="9">
        <v>8</v>
      </c>
      <c r="H671" s="10">
        <v>37</v>
      </c>
      <c r="I671" s="10">
        <v>16</v>
      </c>
      <c r="J671" s="10">
        <v>13</v>
      </c>
      <c r="K671" s="11">
        <f t="shared" si="132"/>
        <v>4.625</v>
      </c>
      <c r="L671" s="11">
        <f t="shared" si="133"/>
        <v>2</v>
      </c>
      <c r="M671" s="12">
        <f t="shared" si="134"/>
        <v>0.43243243243243246</v>
      </c>
      <c r="N671" s="11">
        <f t="shared" si="135"/>
        <v>1.625</v>
      </c>
      <c r="O671" s="12">
        <f t="shared" si="136"/>
        <v>0.8125</v>
      </c>
      <c r="P671" s="12">
        <f t="shared" si="137"/>
        <v>0.35135135135135137</v>
      </c>
      <c r="Q671" s="13">
        <f t="shared" si="140"/>
        <v>2</v>
      </c>
      <c r="R671" s="13">
        <f t="shared" si="141"/>
        <v>1.625</v>
      </c>
    </row>
    <row r="672" spans="1:18" ht="15.75" customHeight="1" x14ac:dyDescent="0.3">
      <c r="A672" s="7" t="s">
        <v>255</v>
      </c>
      <c r="B672" s="7" t="s">
        <v>71</v>
      </c>
      <c r="C672" s="24" t="s">
        <v>58</v>
      </c>
      <c r="D672" s="24" t="s">
        <v>66</v>
      </c>
      <c r="E672" s="8">
        <v>46155</v>
      </c>
      <c r="F672" s="8">
        <v>46162</v>
      </c>
      <c r="G672" s="9">
        <v>8</v>
      </c>
      <c r="H672" s="10">
        <v>55</v>
      </c>
      <c r="I672" s="10">
        <v>14</v>
      </c>
      <c r="J672" s="10">
        <v>8</v>
      </c>
      <c r="K672" s="11">
        <f t="shared" si="132"/>
        <v>6.875</v>
      </c>
      <c r="L672" s="11">
        <f t="shared" si="133"/>
        <v>1.75</v>
      </c>
      <c r="M672" s="12">
        <f t="shared" si="134"/>
        <v>0.25454545454545452</v>
      </c>
      <c r="N672" s="11">
        <f t="shared" si="135"/>
        <v>1</v>
      </c>
      <c r="O672" s="12">
        <f t="shared" si="136"/>
        <v>0.5714285714285714</v>
      </c>
      <c r="P672" s="12">
        <f t="shared" si="137"/>
        <v>0.14545454545454545</v>
      </c>
      <c r="Q672" s="13">
        <f t="shared" si="140"/>
        <v>1.7499999999999998</v>
      </c>
      <c r="R672" s="13">
        <f t="shared" si="141"/>
        <v>1</v>
      </c>
    </row>
    <row r="673" spans="1:18" ht="15.75" customHeight="1" x14ac:dyDescent="0.3">
      <c r="A673" s="7" t="s">
        <v>255</v>
      </c>
      <c r="B673" s="7" t="s">
        <v>72</v>
      </c>
      <c r="C673" s="24" t="s">
        <v>58</v>
      </c>
      <c r="D673" s="24" t="s">
        <v>68</v>
      </c>
      <c r="E673" s="8">
        <v>46155</v>
      </c>
      <c r="F673" s="8">
        <v>46162</v>
      </c>
      <c r="G673" s="9">
        <v>8</v>
      </c>
      <c r="H673" s="10">
        <v>6</v>
      </c>
      <c r="I673" s="10">
        <v>2</v>
      </c>
      <c r="J673" s="10">
        <v>1</v>
      </c>
      <c r="K673" s="11">
        <f t="shared" si="132"/>
        <v>0.75</v>
      </c>
      <c r="L673" s="11">
        <f t="shared" si="133"/>
        <v>0.25</v>
      </c>
      <c r="M673" s="12">
        <f t="shared" si="134"/>
        <v>0.33333333333333331</v>
      </c>
      <c r="N673" s="11">
        <f t="shared" si="135"/>
        <v>0.125</v>
      </c>
      <c r="O673" s="12">
        <f t="shared" si="136"/>
        <v>0.5</v>
      </c>
      <c r="P673" s="12">
        <f t="shared" si="137"/>
        <v>0.16666666666666666</v>
      </c>
      <c r="Q673" s="13">
        <f t="shared" si="140"/>
        <v>0.25</v>
      </c>
      <c r="R673" s="13">
        <f t="shared" si="141"/>
        <v>0.125</v>
      </c>
    </row>
    <row r="674" spans="1:18" ht="15.75" customHeight="1" x14ac:dyDescent="0.3">
      <c r="A674" s="7" t="s">
        <v>255</v>
      </c>
      <c r="B674" s="7" t="s">
        <v>198</v>
      </c>
      <c r="C674" s="24" t="s">
        <v>58</v>
      </c>
      <c r="D674" s="24" t="s">
        <v>66</v>
      </c>
      <c r="E674" s="8">
        <v>46155</v>
      </c>
      <c r="F674" s="8">
        <v>46162</v>
      </c>
      <c r="G674" s="9">
        <v>8</v>
      </c>
      <c r="H674" s="10">
        <v>181</v>
      </c>
      <c r="I674" s="10">
        <v>44</v>
      </c>
      <c r="J674" s="10">
        <v>30</v>
      </c>
      <c r="K674" s="11">
        <f t="shared" si="132"/>
        <v>22.625</v>
      </c>
      <c r="L674" s="11">
        <f t="shared" si="133"/>
        <v>5.5</v>
      </c>
      <c r="M674" s="12">
        <f t="shared" si="134"/>
        <v>0.24309392265193369</v>
      </c>
      <c r="N674" s="11">
        <f t="shared" si="135"/>
        <v>3.75</v>
      </c>
      <c r="O674" s="12">
        <f t="shared" si="136"/>
        <v>0.68181818181818177</v>
      </c>
      <c r="P674" s="12">
        <f t="shared" si="137"/>
        <v>0.16574585635359115</v>
      </c>
      <c r="Q674" s="13">
        <f t="shared" si="140"/>
        <v>5.5</v>
      </c>
      <c r="R674" s="13">
        <f t="shared" si="141"/>
        <v>3.75</v>
      </c>
    </row>
    <row r="675" spans="1:18" ht="15.75" customHeight="1" x14ac:dyDescent="0.3">
      <c r="A675" s="7" t="s">
        <v>255</v>
      </c>
      <c r="B675" s="7" t="s">
        <v>199</v>
      </c>
      <c r="C675" s="24" t="s">
        <v>58</v>
      </c>
      <c r="D675" s="24" t="s">
        <v>68</v>
      </c>
      <c r="E675" s="8">
        <v>46155</v>
      </c>
      <c r="F675" s="8">
        <v>46162</v>
      </c>
      <c r="G675" s="9">
        <v>8</v>
      </c>
      <c r="H675" s="10">
        <v>20</v>
      </c>
      <c r="I675" s="10">
        <v>12</v>
      </c>
      <c r="J675" s="10">
        <v>10</v>
      </c>
      <c r="K675" s="11">
        <f t="shared" si="132"/>
        <v>2.5</v>
      </c>
      <c r="L675" s="11">
        <f t="shared" si="133"/>
        <v>1.5</v>
      </c>
      <c r="M675" s="12">
        <f t="shared" si="134"/>
        <v>0.6</v>
      </c>
      <c r="N675" s="11">
        <f t="shared" si="135"/>
        <v>1.25</v>
      </c>
      <c r="O675" s="12">
        <f t="shared" si="136"/>
        <v>0.83333333333333337</v>
      </c>
      <c r="P675" s="12">
        <f t="shared" si="137"/>
        <v>0.5</v>
      </c>
      <c r="Q675" s="13">
        <f t="shared" si="140"/>
        <v>1.5</v>
      </c>
      <c r="R675" s="13">
        <f t="shared" si="141"/>
        <v>1.25</v>
      </c>
    </row>
    <row r="676" spans="1:18" ht="15.75" customHeight="1" x14ac:dyDescent="0.3">
      <c r="A676" s="7" t="s">
        <v>255</v>
      </c>
      <c r="B676" s="7" t="s">
        <v>136</v>
      </c>
      <c r="C676" s="24" t="s">
        <v>58</v>
      </c>
      <c r="D676" s="24" t="s">
        <v>66</v>
      </c>
      <c r="E676" s="8">
        <v>46155</v>
      </c>
      <c r="F676" s="8">
        <v>46162</v>
      </c>
      <c r="G676" s="9">
        <v>8</v>
      </c>
      <c r="H676" s="10">
        <v>33</v>
      </c>
      <c r="I676" s="10">
        <v>11</v>
      </c>
      <c r="J676" s="10">
        <v>7</v>
      </c>
      <c r="K676" s="11">
        <f t="shared" si="132"/>
        <v>4.125</v>
      </c>
      <c r="L676" s="11">
        <f t="shared" si="133"/>
        <v>1.375</v>
      </c>
      <c r="M676" s="12">
        <f t="shared" si="134"/>
        <v>0.33333333333333331</v>
      </c>
      <c r="N676" s="11">
        <f t="shared" si="135"/>
        <v>0.875</v>
      </c>
      <c r="O676" s="12">
        <f t="shared" si="136"/>
        <v>0.63636363636363635</v>
      </c>
      <c r="P676" s="12">
        <f t="shared" si="137"/>
        <v>0.21212121212121213</v>
      </c>
      <c r="Q676" s="13">
        <f t="shared" si="140"/>
        <v>1.375</v>
      </c>
      <c r="R676" s="13">
        <f t="shared" si="141"/>
        <v>0.875</v>
      </c>
    </row>
    <row r="677" spans="1:18" ht="15.75" customHeight="1" x14ac:dyDescent="0.3">
      <c r="A677" s="7" t="s">
        <v>255</v>
      </c>
      <c r="B677" s="7" t="s">
        <v>137</v>
      </c>
      <c r="C677" s="24" t="s">
        <v>58</v>
      </c>
      <c r="D677" s="24" t="s">
        <v>68</v>
      </c>
      <c r="E677" s="8">
        <v>46155</v>
      </c>
      <c r="F677" s="8">
        <v>46162</v>
      </c>
      <c r="G677" s="9">
        <v>8</v>
      </c>
      <c r="H677" s="10">
        <v>4</v>
      </c>
      <c r="I677" s="10">
        <v>1</v>
      </c>
      <c r="J677" s="10">
        <v>1</v>
      </c>
      <c r="K677" s="11">
        <f t="shared" si="132"/>
        <v>0.5</v>
      </c>
      <c r="L677" s="11">
        <f t="shared" si="133"/>
        <v>0.125</v>
      </c>
      <c r="M677" s="12">
        <f t="shared" si="134"/>
        <v>0.25</v>
      </c>
      <c r="N677" s="11">
        <f t="shared" si="135"/>
        <v>0.125</v>
      </c>
      <c r="O677" s="12">
        <f t="shared" si="136"/>
        <v>1</v>
      </c>
      <c r="P677" s="12">
        <f t="shared" si="137"/>
        <v>0.25</v>
      </c>
      <c r="Q677" s="13">
        <f t="shared" si="140"/>
        <v>0.125</v>
      </c>
      <c r="R677" s="13">
        <f t="shared" si="141"/>
        <v>0.125</v>
      </c>
    </row>
    <row r="678" spans="1:18" ht="15.75" customHeight="1" x14ac:dyDescent="0.3">
      <c r="A678" s="7" t="s">
        <v>255</v>
      </c>
      <c r="B678" s="7" t="s">
        <v>224</v>
      </c>
      <c r="C678" s="24" t="s">
        <v>58</v>
      </c>
      <c r="D678" s="24" t="s">
        <v>66</v>
      </c>
      <c r="E678" s="8">
        <v>46155</v>
      </c>
      <c r="F678" s="8">
        <v>46162</v>
      </c>
      <c r="G678" s="9">
        <v>8</v>
      </c>
      <c r="H678" s="10"/>
      <c r="I678" s="10"/>
      <c r="J678" s="10"/>
      <c r="K678" s="11">
        <f t="shared" si="132"/>
        <v>0</v>
      </c>
      <c r="L678" s="11">
        <f t="shared" si="133"/>
        <v>0</v>
      </c>
      <c r="M678" s="12" t="str">
        <f t="shared" si="134"/>
        <v/>
      </c>
      <c r="N678" s="11">
        <f t="shared" si="135"/>
        <v>0</v>
      </c>
      <c r="O678" s="12" t="str">
        <f t="shared" si="136"/>
        <v/>
      </c>
      <c r="P678" s="12" t="str">
        <f t="shared" si="137"/>
        <v/>
      </c>
    </row>
    <row r="679" spans="1:18" ht="15.75" customHeight="1" x14ac:dyDescent="0.3">
      <c r="A679" s="7" t="s">
        <v>255</v>
      </c>
      <c r="B679" s="7" t="s">
        <v>225</v>
      </c>
      <c r="C679" s="24" t="s">
        <v>58</v>
      </c>
      <c r="D679" s="24" t="s">
        <v>68</v>
      </c>
      <c r="E679" s="8">
        <v>46155</v>
      </c>
      <c r="F679" s="8">
        <v>46162</v>
      </c>
      <c r="G679" s="9">
        <v>8</v>
      </c>
      <c r="H679" s="10"/>
      <c r="I679" s="10"/>
      <c r="J679" s="10"/>
      <c r="K679" s="11">
        <f t="shared" si="132"/>
        <v>0</v>
      </c>
      <c r="L679" s="11">
        <f t="shared" si="133"/>
        <v>0</v>
      </c>
      <c r="M679" s="12" t="str">
        <f t="shared" si="134"/>
        <v/>
      </c>
      <c r="N679" s="11">
        <f t="shared" si="135"/>
        <v>0</v>
      </c>
      <c r="O679" s="12" t="str">
        <f t="shared" si="136"/>
        <v/>
      </c>
      <c r="P679" s="12" t="str">
        <f t="shared" si="137"/>
        <v/>
      </c>
    </row>
    <row r="680" spans="1:18" ht="15.75" customHeight="1" x14ac:dyDescent="0.3">
      <c r="A680" s="7" t="s">
        <v>255</v>
      </c>
      <c r="B680" s="7" t="s">
        <v>238</v>
      </c>
      <c r="C680" s="24" t="s">
        <v>58</v>
      </c>
      <c r="D680" s="24" t="s">
        <v>66</v>
      </c>
      <c r="E680" s="8">
        <v>46155</v>
      </c>
      <c r="F680" s="8">
        <v>46162</v>
      </c>
      <c r="G680" s="9">
        <v>8</v>
      </c>
      <c r="H680" s="10">
        <v>52</v>
      </c>
      <c r="I680" s="10">
        <v>13</v>
      </c>
      <c r="J680" s="10">
        <v>11</v>
      </c>
      <c r="K680" s="11">
        <f t="shared" si="132"/>
        <v>6.5</v>
      </c>
      <c r="L680" s="11">
        <f t="shared" si="133"/>
        <v>1.625</v>
      </c>
      <c r="M680" s="12">
        <f t="shared" si="134"/>
        <v>0.25</v>
      </c>
      <c r="N680" s="11">
        <f t="shared" si="135"/>
        <v>1.375</v>
      </c>
      <c r="O680" s="12">
        <f t="shared" si="136"/>
        <v>0.84615384615384615</v>
      </c>
      <c r="P680" s="12">
        <f t="shared" si="137"/>
        <v>0.21153846153846154</v>
      </c>
      <c r="Q680" s="13">
        <f t="shared" ref="Q680:Q691" si="142">IFERROR((I680/H680)*K680,"")</f>
        <v>1.625</v>
      </c>
      <c r="R680" s="13">
        <f t="shared" ref="R680:R691" si="143">IFERROR((J680/H680)*K680,"")</f>
        <v>1.375</v>
      </c>
    </row>
    <row r="681" spans="1:18" ht="15.75" customHeight="1" x14ac:dyDescent="0.3">
      <c r="A681" s="7" t="s">
        <v>255</v>
      </c>
      <c r="B681" s="7" t="s">
        <v>260</v>
      </c>
      <c r="C681" s="24" t="s">
        <v>58</v>
      </c>
      <c r="D681" s="24" t="s">
        <v>66</v>
      </c>
      <c r="E681" s="8">
        <v>46155</v>
      </c>
      <c r="F681" s="8">
        <v>46162</v>
      </c>
      <c r="G681" s="9">
        <v>8</v>
      </c>
      <c r="H681" s="10">
        <v>53</v>
      </c>
      <c r="I681" s="10">
        <v>18</v>
      </c>
      <c r="J681" s="10">
        <v>12</v>
      </c>
      <c r="K681" s="11">
        <f t="shared" si="132"/>
        <v>6.625</v>
      </c>
      <c r="L681" s="11">
        <f t="shared" si="133"/>
        <v>2.25</v>
      </c>
      <c r="M681" s="12">
        <f t="shared" si="134"/>
        <v>0.33962264150943394</v>
      </c>
      <c r="N681" s="11">
        <f t="shared" si="135"/>
        <v>1.5</v>
      </c>
      <c r="O681" s="12">
        <f t="shared" si="136"/>
        <v>0.66666666666666663</v>
      </c>
      <c r="P681" s="12">
        <f t="shared" si="137"/>
        <v>0.22641509433962265</v>
      </c>
      <c r="Q681" s="13">
        <f t="shared" si="142"/>
        <v>2.25</v>
      </c>
      <c r="R681" s="13">
        <f t="shared" si="143"/>
        <v>1.5</v>
      </c>
    </row>
    <row r="682" spans="1:18" ht="15.75" customHeight="1" x14ac:dyDescent="0.3">
      <c r="A682" s="7" t="s">
        <v>255</v>
      </c>
      <c r="B682" s="7" t="s">
        <v>114</v>
      </c>
      <c r="C682" s="24" t="s">
        <v>58</v>
      </c>
      <c r="D682" s="24" t="s">
        <v>74</v>
      </c>
      <c r="E682" s="8">
        <v>46155</v>
      </c>
      <c r="F682" s="8">
        <v>46162</v>
      </c>
      <c r="G682" s="9">
        <v>8</v>
      </c>
      <c r="H682" s="10">
        <v>56</v>
      </c>
      <c r="I682" s="10">
        <v>19</v>
      </c>
      <c r="J682" s="10">
        <v>9</v>
      </c>
      <c r="K682" s="11">
        <f t="shared" si="132"/>
        <v>7</v>
      </c>
      <c r="L682" s="11">
        <f t="shared" si="133"/>
        <v>2.375</v>
      </c>
      <c r="M682" s="12">
        <f t="shared" si="134"/>
        <v>0.3392857142857143</v>
      </c>
      <c r="N682" s="11">
        <f t="shared" si="135"/>
        <v>1.125</v>
      </c>
      <c r="O682" s="12">
        <f t="shared" si="136"/>
        <v>0.47368421052631576</v>
      </c>
      <c r="P682" s="12">
        <f t="shared" si="137"/>
        <v>0.16071428571428573</v>
      </c>
      <c r="Q682" s="13">
        <f t="shared" si="142"/>
        <v>2.375</v>
      </c>
      <c r="R682" s="13">
        <f t="shared" si="143"/>
        <v>1.125</v>
      </c>
    </row>
    <row r="683" spans="1:18" ht="15.75" customHeight="1" x14ac:dyDescent="0.3">
      <c r="A683" s="7" t="s">
        <v>255</v>
      </c>
      <c r="B683" s="7" t="s">
        <v>73</v>
      </c>
      <c r="C683" s="24" t="s">
        <v>58</v>
      </c>
      <c r="D683" s="24" t="s">
        <v>74</v>
      </c>
      <c r="E683" s="8">
        <v>46155</v>
      </c>
      <c r="F683" s="8">
        <v>46162</v>
      </c>
      <c r="G683" s="9">
        <v>8</v>
      </c>
      <c r="H683" s="10">
        <v>65</v>
      </c>
      <c r="I683" s="10">
        <v>20</v>
      </c>
      <c r="J683" s="10">
        <v>11</v>
      </c>
      <c r="K683" s="11">
        <f t="shared" si="132"/>
        <v>8.125</v>
      </c>
      <c r="L683" s="11">
        <f t="shared" si="133"/>
        <v>2.5</v>
      </c>
      <c r="M683" s="12">
        <f t="shared" si="134"/>
        <v>0.30769230769230771</v>
      </c>
      <c r="N683" s="11">
        <f t="shared" si="135"/>
        <v>1.375</v>
      </c>
      <c r="O683" s="12">
        <f t="shared" si="136"/>
        <v>0.55000000000000004</v>
      </c>
      <c r="P683" s="12">
        <f t="shared" si="137"/>
        <v>0.16923076923076924</v>
      </c>
      <c r="Q683" s="13">
        <f t="shared" si="142"/>
        <v>2.5</v>
      </c>
      <c r="R683" s="13">
        <f t="shared" si="143"/>
        <v>1.375</v>
      </c>
    </row>
    <row r="684" spans="1:18" ht="15.75" customHeight="1" x14ac:dyDescent="0.3">
      <c r="A684" s="7" t="s">
        <v>255</v>
      </c>
      <c r="B684" s="7" t="s">
        <v>115</v>
      </c>
      <c r="C684" s="24" t="s">
        <v>58</v>
      </c>
      <c r="D684" s="24" t="s">
        <v>74</v>
      </c>
      <c r="E684" s="8">
        <v>46155</v>
      </c>
      <c r="F684" s="8">
        <v>46162</v>
      </c>
      <c r="G684" s="9">
        <v>8</v>
      </c>
      <c r="H684" s="10">
        <v>362</v>
      </c>
      <c r="I684" s="10">
        <v>148</v>
      </c>
      <c r="J684" s="10">
        <v>104</v>
      </c>
      <c r="K684" s="11">
        <f t="shared" si="132"/>
        <v>45.25</v>
      </c>
      <c r="L684" s="11">
        <f t="shared" si="133"/>
        <v>18.5</v>
      </c>
      <c r="M684" s="12">
        <f t="shared" si="134"/>
        <v>0.40883977900552487</v>
      </c>
      <c r="N684" s="11">
        <f t="shared" si="135"/>
        <v>13</v>
      </c>
      <c r="O684" s="12">
        <f t="shared" si="136"/>
        <v>0.70270270270270274</v>
      </c>
      <c r="P684" s="12">
        <f t="shared" si="137"/>
        <v>0.287292817679558</v>
      </c>
      <c r="Q684" s="13">
        <f t="shared" si="142"/>
        <v>18.5</v>
      </c>
      <c r="R684" s="13">
        <f t="shared" si="143"/>
        <v>13</v>
      </c>
    </row>
    <row r="685" spans="1:18" ht="15.75" customHeight="1" x14ac:dyDescent="0.3">
      <c r="A685" s="7" t="s">
        <v>255</v>
      </c>
      <c r="B685" s="7" t="s">
        <v>131</v>
      </c>
      <c r="C685" s="24" t="s">
        <v>58</v>
      </c>
      <c r="D685" s="24" t="s">
        <v>74</v>
      </c>
      <c r="E685" s="8">
        <v>46155</v>
      </c>
      <c r="F685" s="8">
        <v>46162</v>
      </c>
      <c r="G685" s="9">
        <v>8</v>
      </c>
      <c r="H685" s="10">
        <v>153</v>
      </c>
      <c r="I685" s="10">
        <v>60</v>
      </c>
      <c r="J685" s="10">
        <v>45</v>
      </c>
      <c r="K685" s="11">
        <f t="shared" si="132"/>
        <v>19.125</v>
      </c>
      <c r="L685" s="11">
        <f t="shared" si="133"/>
        <v>7.5</v>
      </c>
      <c r="M685" s="12">
        <f t="shared" si="134"/>
        <v>0.39215686274509803</v>
      </c>
      <c r="N685" s="11">
        <f t="shared" si="135"/>
        <v>5.625</v>
      </c>
      <c r="O685" s="12">
        <f t="shared" si="136"/>
        <v>0.75</v>
      </c>
      <c r="P685" s="12">
        <f t="shared" si="137"/>
        <v>0.29411764705882354</v>
      </c>
      <c r="Q685" s="13">
        <f t="shared" si="142"/>
        <v>7.5</v>
      </c>
      <c r="R685" s="13">
        <f t="shared" si="143"/>
        <v>5.625</v>
      </c>
    </row>
    <row r="686" spans="1:18" ht="15.75" customHeight="1" x14ac:dyDescent="0.3">
      <c r="A686" s="7" t="s">
        <v>255</v>
      </c>
      <c r="B686" s="7" t="s">
        <v>75</v>
      </c>
      <c r="C686" s="24" t="s">
        <v>58</v>
      </c>
      <c r="D686" s="24" t="s">
        <v>74</v>
      </c>
      <c r="E686" s="8">
        <v>46155</v>
      </c>
      <c r="F686" s="8">
        <v>46162</v>
      </c>
      <c r="G686" s="9">
        <v>8</v>
      </c>
      <c r="H686" s="10">
        <v>50</v>
      </c>
      <c r="I686" s="10">
        <v>24</v>
      </c>
      <c r="J686" s="10">
        <v>12</v>
      </c>
      <c r="K686" s="11">
        <f t="shared" si="132"/>
        <v>6.25</v>
      </c>
      <c r="L686" s="11">
        <f t="shared" si="133"/>
        <v>3</v>
      </c>
      <c r="M686" s="12">
        <f t="shared" si="134"/>
        <v>0.48</v>
      </c>
      <c r="N686" s="11">
        <f t="shared" si="135"/>
        <v>1.5</v>
      </c>
      <c r="O686" s="12">
        <f t="shared" si="136"/>
        <v>0.5</v>
      </c>
      <c r="P686" s="12">
        <f t="shared" si="137"/>
        <v>0.24</v>
      </c>
      <c r="Q686" s="13">
        <f t="shared" si="142"/>
        <v>3</v>
      </c>
      <c r="R686" s="13">
        <f t="shared" si="143"/>
        <v>1.5</v>
      </c>
    </row>
    <row r="687" spans="1:18" ht="15.75" customHeight="1" x14ac:dyDescent="0.3">
      <c r="A687" s="7" t="s">
        <v>255</v>
      </c>
      <c r="B687" s="7" t="s">
        <v>132</v>
      </c>
      <c r="C687" s="24" t="s">
        <v>58</v>
      </c>
      <c r="D687" s="24" t="s">
        <v>74</v>
      </c>
      <c r="E687" s="8">
        <v>46155</v>
      </c>
      <c r="F687" s="8">
        <v>46162</v>
      </c>
      <c r="G687" s="9">
        <v>8</v>
      </c>
      <c r="H687" s="10">
        <v>16</v>
      </c>
      <c r="I687" s="10">
        <v>6</v>
      </c>
      <c r="J687" s="10">
        <v>5</v>
      </c>
      <c r="K687" s="11">
        <f t="shared" si="132"/>
        <v>2</v>
      </c>
      <c r="L687" s="11">
        <f t="shared" si="133"/>
        <v>0.75</v>
      </c>
      <c r="M687" s="12">
        <f t="shared" si="134"/>
        <v>0.375</v>
      </c>
      <c r="N687" s="11">
        <f t="shared" si="135"/>
        <v>0.625</v>
      </c>
      <c r="O687" s="12">
        <f t="shared" si="136"/>
        <v>0.83333333333333337</v>
      </c>
      <c r="P687" s="12">
        <f t="shared" si="137"/>
        <v>0.3125</v>
      </c>
      <c r="Q687" s="13">
        <f t="shared" si="142"/>
        <v>0.75</v>
      </c>
      <c r="R687" s="13">
        <f t="shared" si="143"/>
        <v>0.625</v>
      </c>
    </row>
    <row r="688" spans="1:18" ht="15.75" customHeight="1" x14ac:dyDescent="0.3">
      <c r="A688" s="7" t="s">
        <v>255</v>
      </c>
      <c r="B688" s="7" t="s">
        <v>133</v>
      </c>
      <c r="C688" s="24" t="s">
        <v>58</v>
      </c>
      <c r="D688" s="24" t="s">
        <v>74</v>
      </c>
      <c r="E688" s="8">
        <v>46155</v>
      </c>
      <c r="F688" s="8">
        <v>46162</v>
      </c>
      <c r="G688" s="9">
        <v>8</v>
      </c>
      <c r="H688" s="10">
        <v>75</v>
      </c>
      <c r="I688" s="10">
        <v>30</v>
      </c>
      <c r="J688" s="10">
        <v>25</v>
      </c>
      <c r="K688" s="11">
        <f t="shared" si="132"/>
        <v>9.375</v>
      </c>
      <c r="L688" s="11">
        <f t="shared" si="133"/>
        <v>3.75</v>
      </c>
      <c r="M688" s="12">
        <f t="shared" si="134"/>
        <v>0.4</v>
      </c>
      <c r="N688" s="11">
        <f t="shared" si="135"/>
        <v>3.125</v>
      </c>
      <c r="O688" s="12">
        <f t="shared" si="136"/>
        <v>0.83333333333333337</v>
      </c>
      <c r="P688" s="12">
        <f t="shared" si="137"/>
        <v>0.33333333333333331</v>
      </c>
      <c r="Q688" s="13">
        <f t="shared" si="142"/>
        <v>3.75</v>
      </c>
      <c r="R688" s="13">
        <f t="shared" si="143"/>
        <v>3.125</v>
      </c>
    </row>
    <row r="689" spans="1:18" ht="15.75" customHeight="1" x14ac:dyDescent="0.3">
      <c r="A689" s="7" t="s">
        <v>255</v>
      </c>
      <c r="B689" s="7" t="s">
        <v>134</v>
      </c>
      <c r="C689" s="24" t="s">
        <v>58</v>
      </c>
      <c r="D689" s="24" t="s">
        <v>66</v>
      </c>
      <c r="E689" s="8">
        <v>46155</v>
      </c>
      <c r="F689" s="8">
        <v>46162</v>
      </c>
      <c r="G689" s="9">
        <v>8</v>
      </c>
      <c r="H689" s="10">
        <v>20</v>
      </c>
      <c r="I689" s="10">
        <v>8</v>
      </c>
      <c r="J689" s="10">
        <v>6</v>
      </c>
      <c r="K689" s="11">
        <f t="shared" si="132"/>
        <v>2.5</v>
      </c>
      <c r="L689" s="11">
        <f t="shared" si="133"/>
        <v>1</v>
      </c>
      <c r="M689" s="12">
        <f t="shared" si="134"/>
        <v>0.4</v>
      </c>
      <c r="N689" s="11">
        <f t="shared" si="135"/>
        <v>0.75</v>
      </c>
      <c r="O689" s="12">
        <f t="shared" si="136"/>
        <v>0.75</v>
      </c>
      <c r="P689" s="12">
        <f t="shared" si="137"/>
        <v>0.3</v>
      </c>
      <c r="Q689" s="13">
        <f t="shared" si="142"/>
        <v>1</v>
      </c>
      <c r="R689" s="13">
        <f t="shared" si="143"/>
        <v>0.75</v>
      </c>
    </row>
    <row r="690" spans="1:18" ht="15.75" customHeight="1" x14ac:dyDescent="0.3">
      <c r="A690" s="7" t="s">
        <v>255</v>
      </c>
      <c r="B690" s="7" t="s">
        <v>135</v>
      </c>
      <c r="C690" s="24" t="s">
        <v>58</v>
      </c>
      <c r="D690" s="24" t="s">
        <v>66</v>
      </c>
      <c r="E690" s="8">
        <v>46155</v>
      </c>
      <c r="F690" s="8">
        <v>46162</v>
      </c>
      <c r="G690" s="9">
        <v>8</v>
      </c>
      <c r="H690" s="10">
        <v>81</v>
      </c>
      <c r="I690" s="10">
        <v>39</v>
      </c>
      <c r="J690" s="10">
        <v>31</v>
      </c>
      <c r="K690" s="11">
        <f t="shared" si="132"/>
        <v>10.125</v>
      </c>
      <c r="L690" s="11">
        <f t="shared" si="133"/>
        <v>4.875</v>
      </c>
      <c r="M690" s="12">
        <f t="shared" si="134"/>
        <v>0.48148148148148145</v>
      </c>
      <c r="N690" s="11">
        <f t="shared" si="135"/>
        <v>3.875</v>
      </c>
      <c r="O690" s="12">
        <f t="shared" si="136"/>
        <v>0.79487179487179482</v>
      </c>
      <c r="P690" s="12">
        <f t="shared" si="137"/>
        <v>0.38271604938271603</v>
      </c>
      <c r="Q690" s="13">
        <f t="shared" si="142"/>
        <v>4.875</v>
      </c>
      <c r="R690" s="13">
        <f t="shared" si="143"/>
        <v>3.875</v>
      </c>
    </row>
    <row r="691" spans="1:18" ht="15.75" customHeight="1" x14ac:dyDescent="0.3">
      <c r="A691" s="7" t="s">
        <v>261</v>
      </c>
      <c r="B691" s="7" t="s">
        <v>33</v>
      </c>
      <c r="C691" s="24" t="s">
        <v>34</v>
      </c>
      <c r="D691" s="24" t="s">
        <v>35</v>
      </c>
      <c r="E691" s="8">
        <v>46163</v>
      </c>
      <c r="F691" s="8">
        <v>46174</v>
      </c>
      <c r="G691" s="9">
        <v>12</v>
      </c>
      <c r="H691" s="10">
        <v>651</v>
      </c>
      <c r="I691" s="10">
        <v>198</v>
      </c>
      <c r="J691" s="10">
        <v>115</v>
      </c>
      <c r="K691" s="11">
        <f t="shared" si="132"/>
        <v>54.25</v>
      </c>
      <c r="L691" s="11">
        <f t="shared" si="133"/>
        <v>16.5</v>
      </c>
      <c r="M691" s="12">
        <f t="shared" si="134"/>
        <v>0.30414746543778803</v>
      </c>
      <c r="N691" s="11">
        <f t="shared" si="135"/>
        <v>9.5833333333333339</v>
      </c>
      <c r="O691" s="12">
        <f t="shared" si="136"/>
        <v>0.58080808080808077</v>
      </c>
      <c r="P691" s="12">
        <f t="shared" si="137"/>
        <v>0.17665130568356374</v>
      </c>
      <c r="Q691" s="13">
        <f t="shared" si="142"/>
        <v>16.5</v>
      </c>
      <c r="R691" s="13">
        <f t="shared" si="143"/>
        <v>9.5833333333333321</v>
      </c>
    </row>
    <row r="692" spans="1:18" ht="15.75" customHeight="1" x14ac:dyDescent="0.3">
      <c r="A692" s="7" t="s">
        <v>261</v>
      </c>
      <c r="B692" s="7" t="s">
        <v>36</v>
      </c>
      <c r="C692" s="24" t="s">
        <v>34</v>
      </c>
      <c r="D692" s="24" t="s">
        <v>35</v>
      </c>
      <c r="E692" s="8">
        <v>46163</v>
      </c>
      <c r="F692" s="8">
        <v>46174</v>
      </c>
      <c r="G692" s="9">
        <v>12</v>
      </c>
      <c r="H692" s="10" t="s">
        <v>433</v>
      </c>
      <c r="I692" s="10" t="s">
        <v>433</v>
      </c>
      <c r="J692" s="10" t="s">
        <v>433</v>
      </c>
      <c r="K692" s="11" t="str">
        <f t="shared" si="132"/>
        <v/>
      </c>
      <c r="L692" s="11" t="str">
        <f t="shared" si="133"/>
        <v/>
      </c>
      <c r="M692" s="12" t="str">
        <f t="shared" si="134"/>
        <v/>
      </c>
      <c r="N692" s="11" t="str">
        <f t="shared" si="135"/>
        <v/>
      </c>
      <c r="O692" s="12" t="str">
        <f t="shared" si="136"/>
        <v/>
      </c>
      <c r="P692" s="12" t="str">
        <f t="shared" si="137"/>
        <v/>
      </c>
    </row>
    <row r="693" spans="1:18" ht="15.75" customHeight="1" x14ac:dyDescent="0.3">
      <c r="A693" s="7" t="s">
        <v>261</v>
      </c>
      <c r="B693" s="7" t="s">
        <v>170</v>
      </c>
      <c r="C693" s="24" t="s">
        <v>34</v>
      </c>
      <c r="D693" s="24" t="s">
        <v>35</v>
      </c>
      <c r="E693" s="8">
        <v>46163</v>
      </c>
      <c r="F693" s="8">
        <v>46174</v>
      </c>
      <c r="G693" s="9">
        <v>12</v>
      </c>
      <c r="H693" s="10">
        <v>471</v>
      </c>
      <c r="I693" s="10">
        <v>138</v>
      </c>
      <c r="J693" s="10">
        <v>69</v>
      </c>
      <c r="K693" s="11">
        <f t="shared" si="132"/>
        <v>39.25</v>
      </c>
      <c r="L693" s="11">
        <f t="shared" si="133"/>
        <v>11.5</v>
      </c>
      <c r="M693" s="12">
        <f t="shared" si="134"/>
        <v>0.2929936305732484</v>
      </c>
      <c r="N693" s="11">
        <f t="shared" si="135"/>
        <v>5.75</v>
      </c>
      <c r="O693" s="12">
        <f t="shared" si="136"/>
        <v>0.5</v>
      </c>
      <c r="P693" s="12">
        <f t="shared" si="137"/>
        <v>0.1464968152866242</v>
      </c>
      <c r="Q693" s="13">
        <f t="shared" ref="Q693:Q720" si="144">IFERROR((I693/H693)*K693,"")</f>
        <v>11.5</v>
      </c>
      <c r="R693" s="13">
        <f t="shared" ref="R693:R720" si="145">IFERROR((J693/H693)*K693,"")</f>
        <v>5.75</v>
      </c>
    </row>
    <row r="694" spans="1:18" ht="15.75" customHeight="1" x14ac:dyDescent="0.3">
      <c r="A694" s="7" t="s">
        <v>261</v>
      </c>
      <c r="B694" s="7" t="s">
        <v>246</v>
      </c>
      <c r="C694" s="24" t="s">
        <v>34</v>
      </c>
      <c r="D694" s="24" t="s">
        <v>91</v>
      </c>
      <c r="E694" s="8">
        <v>46163</v>
      </c>
      <c r="F694" s="8">
        <v>46174</v>
      </c>
      <c r="G694" s="9">
        <v>12</v>
      </c>
      <c r="H694" s="10" t="s">
        <v>433</v>
      </c>
      <c r="I694" s="10" t="s">
        <v>433</v>
      </c>
      <c r="J694" s="10" t="s">
        <v>433</v>
      </c>
      <c r="K694" s="11" t="str">
        <f t="shared" si="132"/>
        <v/>
      </c>
      <c r="L694" s="11" t="str">
        <f t="shared" si="133"/>
        <v/>
      </c>
      <c r="M694" s="12" t="str">
        <f t="shared" si="134"/>
        <v/>
      </c>
      <c r="N694" s="11" t="str">
        <f t="shared" si="135"/>
        <v/>
      </c>
      <c r="O694" s="12" t="str">
        <f t="shared" si="136"/>
        <v/>
      </c>
      <c r="P694" s="12" t="str">
        <f t="shared" si="137"/>
        <v/>
      </c>
      <c r="Q694" s="13" t="str">
        <f t="shared" si="144"/>
        <v/>
      </c>
      <c r="R694" s="13" t="str">
        <f t="shared" si="145"/>
        <v/>
      </c>
    </row>
    <row r="695" spans="1:18" ht="15.75" customHeight="1" x14ac:dyDescent="0.3">
      <c r="A695" s="7" t="s">
        <v>261</v>
      </c>
      <c r="B695" s="7" t="s">
        <v>38</v>
      </c>
      <c r="C695" s="24" t="s">
        <v>34</v>
      </c>
      <c r="D695" s="24" t="s">
        <v>39</v>
      </c>
      <c r="E695" s="8">
        <v>46163</v>
      </c>
      <c r="F695" s="8">
        <v>46174</v>
      </c>
      <c r="G695" s="9">
        <v>12</v>
      </c>
      <c r="H695" s="10">
        <v>375</v>
      </c>
      <c r="I695" s="10">
        <v>50</v>
      </c>
      <c r="J695" s="10">
        <v>37</v>
      </c>
      <c r="K695" s="11">
        <f t="shared" si="132"/>
        <v>31.25</v>
      </c>
      <c r="L695" s="11">
        <f t="shared" si="133"/>
        <v>4.166666666666667</v>
      </c>
      <c r="M695" s="12">
        <f t="shared" si="134"/>
        <v>0.13333333333333333</v>
      </c>
      <c r="N695" s="11">
        <f t="shared" si="135"/>
        <v>3.0833333333333335</v>
      </c>
      <c r="O695" s="12">
        <f t="shared" si="136"/>
        <v>0.74</v>
      </c>
      <c r="P695" s="12">
        <f t="shared" si="137"/>
        <v>9.8666666666666666E-2</v>
      </c>
      <c r="Q695" s="13">
        <f t="shared" si="144"/>
        <v>4.166666666666667</v>
      </c>
      <c r="R695" s="13">
        <f t="shared" si="145"/>
        <v>3.0833333333333335</v>
      </c>
    </row>
    <row r="696" spans="1:18" ht="15.75" customHeight="1" x14ac:dyDescent="0.3">
      <c r="A696" s="7" t="s">
        <v>261</v>
      </c>
      <c r="B696" s="7" t="s">
        <v>40</v>
      </c>
      <c r="C696" s="24" t="s">
        <v>34</v>
      </c>
      <c r="D696" s="24" t="s">
        <v>39</v>
      </c>
      <c r="E696" s="8">
        <v>46163</v>
      </c>
      <c r="F696" s="8">
        <v>46174</v>
      </c>
      <c r="G696" s="9">
        <v>12</v>
      </c>
      <c r="H696" s="10">
        <v>11</v>
      </c>
      <c r="I696" s="10">
        <v>1</v>
      </c>
      <c r="J696" s="10">
        <v>1</v>
      </c>
      <c r="K696" s="11">
        <f t="shared" ref="K696:K759" si="146">IFERROR(H696/G696,"")</f>
        <v>0.91666666666666663</v>
      </c>
      <c r="L696" s="11">
        <f t="shared" ref="L696:L759" si="147">IFERROR(I696/G696,"")</f>
        <v>8.3333333333333329E-2</v>
      </c>
      <c r="M696" s="12">
        <f t="shared" ref="M696:M759" si="148">IFERROR(I696/H696,"")</f>
        <v>9.0909090909090912E-2</v>
      </c>
      <c r="N696" s="11">
        <f t="shared" ref="N696:N759" si="149">IFERROR(J696/G696,"")</f>
        <v>8.3333333333333329E-2</v>
      </c>
      <c r="O696" s="12">
        <f t="shared" ref="O696:O759" si="150">IFERROR(J696/I696,"")</f>
        <v>1</v>
      </c>
      <c r="P696" s="12">
        <f t="shared" ref="P696:P759" si="151">IFERROR(J696/H696,"")</f>
        <v>9.0909090909090912E-2</v>
      </c>
      <c r="Q696" s="13">
        <f t="shared" si="144"/>
        <v>8.3333333333333329E-2</v>
      </c>
      <c r="R696" s="13">
        <f t="shared" si="145"/>
        <v>8.3333333333333329E-2</v>
      </c>
    </row>
    <row r="697" spans="1:18" ht="15.75" customHeight="1" x14ac:dyDescent="0.3">
      <c r="A697" s="7" t="s">
        <v>261</v>
      </c>
      <c r="B697" s="7" t="s">
        <v>117</v>
      </c>
      <c r="C697" s="24" t="s">
        <v>47</v>
      </c>
      <c r="D697" s="24" t="s">
        <v>48</v>
      </c>
      <c r="E697" s="8">
        <v>46163</v>
      </c>
      <c r="F697" s="8">
        <v>46174</v>
      </c>
      <c r="G697" s="9">
        <v>12</v>
      </c>
      <c r="H697" s="10">
        <v>2594</v>
      </c>
      <c r="I697" s="10">
        <v>799</v>
      </c>
      <c r="J697" s="10">
        <v>558</v>
      </c>
      <c r="K697" s="11">
        <f t="shared" si="146"/>
        <v>216.16666666666666</v>
      </c>
      <c r="L697" s="11">
        <f t="shared" si="147"/>
        <v>66.583333333333329</v>
      </c>
      <c r="M697" s="12">
        <f t="shared" si="148"/>
        <v>0.3080185042405551</v>
      </c>
      <c r="N697" s="11">
        <f t="shared" si="149"/>
        <v>46.5</v>
      </c>
      <c r="O697" s="12">
        <f t="shared" si="150"/>
        <v>0.69837296620775968</v>
      </c>
      <c r="P697" s="12">
        <f t="shared" si="151"/>
        <v>0.2151117964533539</v>
      </c>
      <c r="Q697" s="13">
        <f t="shared" si="144"/>
        <v>66.583333333333329</v>
      </c>
      <c r="R697" s="13">
        <f t="shared" si="145"/>
        <v>46.5</v>
      </c>
    </row>
    <row r="698" spans="1:18" ht="15.75" customHeight="1" x14ac:dyDescent="0.3">
      <c r="A698" s="7" t="s">
        <v>261</v>
      </c>
      <c r="B698" s="7" t="s">
        <v>118</v>
      </c>
      <c r="C698" s="24" t="s">
        <v>47</v>
      </c>
      <c r="D698" s="24" t="s">
        <v>48</v>
      </c>
      <c r="E698" s="8">
        <v>46163</v>
      </c>
      <c r="F698" s="8">
        <v>46174</v>
      </c>
      <c r="G698" s="9">
        <v>12</v>
      </c>
      <c r="H698" s="10">
        <v>111</v>
      </c>
      <c r="I698" s="10">
        <v>38</v>
      </c>
      <c r="J698" s="10">
        <v>24</v>
      </c>
      <c r="K698" s="11">
        <f t="shared" si="146"/>
        <v>9.25</v>
      </c>
      <c r="L698" s="11">
        <f t="shared" si="147"/>
        <v>3.1666666666666665</v>
      </c>
      <c r="M698" s="12">
        <f t="shared" si="148"/>
        <v>0.34234234234234234</v>
      </c>
      <c r="N698" s="11">
        <f t="shared" si="149"/>
        <v>2</v>
      </c>
      <c r="O698" s="12">
        <f t="shared" si="150"/>
        <v>0.63157894736842102</v>
      </c>
      <c r="P698" s="12">
        <f t="shared" si="151"/>
        <v>0.21621621621621623</v>
      </c>
      <c r="Q698" s="13">
        <f t="shared" si="144"/>
        <v>3.1666666666666665</v>
      </c>
      <c r="R698" s="13">
        <f t="shared" si="145"/>
        <v>2</v>
      </c>
    </row>
    <row r="699" spans="1:18" ht="15.75" customHeight="1" x14ac:dyDescent="0.3">
      <c r="A699" s="7" t="s">
        <v>261</v>
      </c>
      <c r="B699" s="7" t="s">
        <v>247</v>
      </c>
      <c r="C699" s="24" t="s">
        <v>47</v>
      </c>
      <c r="D699" s="24" t="s">
        <v>48</v>
      </c>
      <c r="E699" s="8">
        <v>46163</v>
      </c>
      <c r="F699" s="8">
        <v>46174</v>
      </c>
      <c r="G699" s="9">
        <v>12</v>
      </c>
      <c r="H699" s="10">
        <v>437</v>
      </c>
      <c r="I699" s="10">
        <v>154</v>
      </c>
      <c r="J699" s="10">
        <v>119</v>
      </c>
      <c r="K699" s="11">
        <f t="shared" si="146"/>
        <v>36.416666666666664</v>
      </c>
      <c r="L699" s="11">
        <f t="shared" si="147"/>
        <v>12.833333333333334</v>
      </c>
      <c r="M699" s="12">
        <f t="shared" si="148"/>
        <v>0.35240274599542332</v>
      </c>
      <c r="N699" s="11">
        <f t="shared" si="149"/>
        <v>9.9166666666666661</v>
      </c>
      <c r="O699" s="12">
        <f t="shared" si="150"/>
        <v>0.77272727272727271</v>
      </c>
      <c r="P699" s="12">
        <f t="shared" si="151"/>
        <v>0.27231121281464532</v>
      </c>
      <c r="Q699" s="13">
        <f t="shared" si="144"/>
        <v>12.833333333333332</v>
      </c>
      <c r="R699" s="13">
        <f t="shared" si="145"/>
        <v>9.9166666666666661</v>
      </c>
    </row>
    <row r="700" spans="1:18" ht="15.75" customHeight="1" x14ac:dyDescent="0.3">
      <c r="A700" s="7" t="s">
        <v>261</v>
      </c>
      <c r="B700" s="7" t="s">
        <v>248</v>
      </c>
      <c r="C700" s="24" t="s">
        <v>47</v>
      </c>
      <c r="D700" s="24" t="s">
        <v>48</v>
      </c>
      <c r="E700" s="8">
        <v>46163</v>
      </c>
      <c r="F700" s="8">
        <v>46174</v>
      </c>
      <c r="G700" s="9">
        <v>12</v>
      </c>
      <c r="H700" s="10">
        <v>282</v>
      </c>
      <c r="I700" s="10">
        <v>118</v>
      </c>
      <c r="J700" s="10">
        <v>95</v>
      </c>
      <c r="K700" s="11">
        <f t="shared" si="146"/>
        <v>23.5</v>
      </c>
      <c r="L700" s="11">
        <f t="shared" si="147"/>
        <v>9.8333333333333339</v>
      </c>
      <c r="M700" s="12">
        <f t="shared" si="148"/>
        <v>0.41843971631205673</v>
      </c>
      <c r="N700" s="11">
        <f t="shared" si="149"/>
        <v>7.916666666666667</v>
      </c>
      <c r="O700" s="12">
        <f t="shared" si="150"/>
        <v>0.80508474576271183</v>
      </c>
      <c r="P700" s="12">
        <f t="shared" si="151"/>
        <v>0.33687943262411346</v>
      </c>
      <c r="Q700" s="13">
        <f t="shared" si="144"/>
        <v>9.8333333333333339</v>
      </c>
      <c r="R700" s="13">
        <f t="shared" si="145"/>
        <v>7.9166666666666661</v>
      </c>
    </row>
    <row r="701" spans="1:18" ht="15.75" customHeight="1" x14ac:dyDescent="0.3">
      <c r="A701" s="7" t="s">
        <v>261</v>
      </c>
      <c r="B701" s="7" t="s">
        <v>249</v>
      </c>
      <c r="C701" s="24" t="s">
        <v>47</v>
      </c>
      <c r="D701" s="24" t="s">
        <v>48</v>
      </c>
      <c r="E701" s="8">
        <v>46163</v>
      </c>
      <c r="F701" s="8">
        <v>46174</v>
      </c>
      <c r="G701" s="9">
        <v>12</v>
      </c>
      <c r="H701" s="10">
        <v>445</v>
      </c>
      <c r="I701" s="10">
        <v>146</v>
      </c>
      <c r="J701" s="10">
        <v>96</v>
      </c>
      <c r="K701" s="11">
        <f t="shared" si="146"/>
        <v>37.083333333333336</v>
      </c>
      <c r="L701" s="11">
        <f t="shared" si="147"/>
        <v>12.166666666666666</v>
      </c>
      <c r="M701" s="12">
        <f t="shared" si="148"/>
        <v>0.32808988764044944</v>
      </c>
      <c r="N701" s="11">
        <f t="shared" si="149"/>
        <v>8</v>
      </c>
      <c r="O701" s="12">
        <f t="shared" si="150"/>
        <v>0.65753424657534243</v>
      </c>
      <c r="P701" s="12">
        <f t="shared" si="151"/>
        <v>0.21573033707865169</v>
      </c>
      <c r="Q701" s="13">
        <f t="shared" si="144"/>
        <v>12.166666666666668</v>
      </c>
      <c r="R701" s="13">
        <f t="shared" si="145"/>
        <v>8</v>
      </c>
    </row>
    <row r="702" spans="1:18" ht="15.75" customHeight="1" x14ac:dyDescent="0.3">
      <c r="A702" s="7" t="s">
        <v>261</v>
      </c>
      <c r="B702" s="7" t="s">
        <v>214</v>
      </c>
      <c r="C702" s="24" t="s">
        <v>47</v>
      </c>
      <c r="D702" s="24" t="s">
        <v>53</v>
      </c>
      <c r="E702" s="8">
        <v>46163</v>
      </c>
      <c r="F702" s="8">
        <v>46174</v>
      </c>
      <c r="G702" s="9">
        <v>12</v>
      </c>
      <c r="H702" s="10">
        <v>46</v>
      </c>
      <c r="I702" s="10">
        <v>18</v>
      </c>
      <c r="J702" s="10">
        <v>16</v>
      </c>
      <c r="K702" s="11">
        <f t="shared" si="146"/>
        <v>3.8333333333333335</v>
      </c>
      <c r="L702" s="11">
        <f t="shared" si="147"/>
        <v>1.5</v>
      </c>
      <c r="M702" s="12">
        <f t="shared" si="148"/>
        <v>0.39130434782608697</v>
      </c>
      <c r="N702" s="11">
        <f t="shared" si="149"/>
        <v>1.3333333333333333</v>
      </c>
      <c r="O702" s="12">
        <f t="shared" si="150"/>
        <v>0.88888888888888884</v>
      </c>
      <c r="P702" s="12">
        <f t="shared" si="151"/>
        <v>0.34782608695652173</v>
      </c>
      <c r="Q702" s="13">
        <f t="shared" si="144"/>
        <v>1.5000000000000002</v>
      </c>
      <c r="R702" s="13">
        <f t="shared" si="145"/>
        <v>1.3333333333333333</v>
      </c>
    </row>
    <row r="703" spans="1:18" ht="15.75" customHeight="1" x14ac:dyDescent="0.3">
      <c r="A703" s="7" t="s">
        <v>261</v>
      </c>
      <c r="B703" s="7" t="s">
        <v>250</v>
      </c>
      <c r="C703" s="24" t="s">
        <v>47</v>
      </c>
      <c r="D703" s="24" t="s">
        <v>56</v>
      </c>
      <c r="E703" s="8">
        <v>46163</v>
      </c>
      <c r="F703" s="8">
        <v>46174</v>
      </c>
      <c r="G703" s="9">
        <v>12</v>
      </c>
      <c r="H703" s="10">
        <v>58</v>
      </c>
      <c r="I703" s="10">
        <v>20</v>
      </c>
      <c r="J703" s="10">
        <v>14</v>
      </c>
      <c r="K703" s="11">
        <f t="shared" si="146"/>
        <v>4.833333333333333</v>
      </c>
      <c r="L703" s="11">
        <f t="shared" si="147"/>
        <v>1.6666666666666667</v>
      </c>
      <c r="M703" s="12">
        <f t="shared" si="148"/>
        <v>0.34482758620689657</v>
      </c>
      <c r="N703" s="11">
        <f t="shared" si="149"/>
        <v>1.1666666666666667</v>
      </c>
      <c r="O703" s="12">
        <f t="shared" si="150"/>
        <v>0.7</v>
      </c>
      <c r="P703" s="12">
        <f t="shared" si="151"/>
        <v>0.2413793103448276</v>
      </c>
      <c r="Q703" s="13">
        <f t="shared" si="144"/>
        <v>1.6666666666666667</v>
      </c>
      <c r="R703" s="13">
        <f t="shared" si="145"/>
        <v>1.1666666666666667</v>
      </c>
    </row>
    <row r="704" spans="1:18" ht="15.75" customHeight="1" x14ac:dyDescent="0.3">
      <c r="A704" s="7" t="s">
        <v>261</v>
      </c>
      <c r="B704" s="7" t="s">
        <v>251</v>
      </c>
      <c r="C704" s="24" t="s">
        <v>47</v>
      </c>
      <c r="D704" s="24" t="s">
        <v>56</v>
      </c>
      <c r="E704" s="8">
        <v>46163</v>
      </c>
      <c r="F704" s="8">
        <v>46174</v>
      </c>
      <c r="G704" s="9">
        <v>12</v>
      </c>
      <c r="H704" s="10">
        <v>273</v>
      </c>
      <c r="I704" s="10">
        <v>102</v>
      </c>
      <c r="J704" s="10">
        <v>75</v>
      </c>
      <c r="K704" s="11">
        <f t="shared" si="146"/>
        <v>22.75</v>
      </c>
      <c r="L704" s="11">
        <f t="shared" si="147"/>
        <v>8.5</v>
      </c>
      <c r="M704" s="12">
        <f t="shared" si="148"/>
        <v>0.37362637362637363</v>
      </c>
      <c r="N704" s="11">
        <f t="shared" si="149"/>
        <v>6.25</v>
      </c>
      <c r="O704" s="12">
        <f t="shared" si="150"/>
        <v>0.73529411764705888</v>
      </c>
      <c r="P704" s="12">
        <f t="shared" si="151"/>
        <v>0.27472527472527475</v>
      </c>
      <c r="Q704" s="13">
        <f t="shared" si="144"/>
        <v>8.5</v>
      </c>
      <c r="R704" s="13">
        <f t="shared" si="145"/>
        <v>6.2500000000000009</v>
      </c>
    </row>
    <row r="705" spans="1:18" ht="15.75" customHeight="1" x14ac:dyDescent="0.3">
      <c r="A705" s="7" t="s">
        <v>261</v>
      </c>
      <c r="B705" s="7" t="s">
        <v>252</v>
      </c>
      <c r="C705" s="24" t="s">
        <v>47</v>
      </c>
      <c r="D705" s="24" t="s">
        <v>253</v>
      </c>
      <c r="E705" s="8">
        <v>46163</v>
      </c>
      <c r="F705" s="8">
        <v>46174</v>
      </c>
      <c r="G705" s="9">
        <v>12</v>
      </c>
      <c r="H705" s="10">
        <v>165</v>
      </c>
      <c r="I705" s="10">
        <v>57</v>
      </c>
      <c r="J705" s="10">
        <v>40</v>
      </c>
      <c r="K705" s="11">
        <f t="shared" si="146"/>
        <v>13.75</v>
      </c>
      <c r="L705" s="11">
        <f t="shared" si="147"/>
        <v>4.75</v>
      </c>
      <c r="M705" s="12">
        <f t="shared" si="148"/>
        <v>0.34545454545454546</v>
      </c>
      <c r="N705" s="11">
        <f t="shared" si="149"/>
        <v>3.3333333333333335</v>
      </c>
      <c r="O705" s="12">
        <f t="shared" si="150"/>
        <v>0.70175438596491224</v>
      </c>
      <c r="P705" s="12">
        <f t="shared" si="151"/>
        <v>0.24242424242424243</v>
      </c>
      <c r="Q705" s="13">
        <f t="shared" si="144"/>
        <v>4.75</v>
      </c>
      <c r="R705" s="13">
        <f t="shared" si="145"/>
        <v>3.3333333333333335</v>
      </c>
    </row>
    <row r="706" spans="1:18" ht="15.75" customHeight="1" x14ac:dyDescent="0.3">
      <c r="A706" s="7" t="s">
        <v>261</v>
      </c>
      <c r="B706" s="7" t="s">
        <v>176</v>
      </c>
      <c r="C706" s="24" t="s">
        <v>58</v>
      </c>
      <c r="D706" s="24" t="s">
        <v>61</v>
      </c>
      <c r="E706" s="8">
        <v>46163</v>
      </c>
      <c r="F706" s="8">
        <v>46174</v>
      </c>
      <c r="G706" s="9">
        <v>12</v>
      </c>
      <c r="H706" s="10">
        <v>830</v>
      </c>
      <c r="I706" s="10">
        <v>275</v>
      </c>
      <c r="J706" s="10">
        <v>197</v>
      </c>
      <c r="K706" s="11">
        <f t="shared" si="146"/>
        <v>69.166666666666671</v>
      </c>
      <c r="L706" s="11">
        <f t="shared" si="147"/>
        <v>22.916666666666668</v>
      </c>
      <c r="M706" s="12">
        <f t="shared" si="148"/>
        <v>0.33132530120481929</v>
      </c>
      <c r="N706" s="11">
        <f t="shared" si="149"/>
        <v>16.416666666666668</v>
      </c>
      <c r="O706" s="12">
        <f t="shared" si="150"/>
        <v>0.71636363636363631</v>
      </c>
      <c r="P706" s="12">
        <f t="shared" si="151"/>
        <v>0.23734939759036144</v>
      </c>
      <c r="Q706" s="13">
        <f t="shared" si="144"/>
        <v>22.916666666666668</v>
      </c>
      <c r="R706" s="13">
        <f t="shared" si="145"/>
        <v>16.416666666666668</v>
      </c>
    </row>
    <row r="707" spans="1:18" ht="15.75" customHeight="1" x14ac:dyDescent="0.3">
      <c r="A707" s="7" t="s">
        <v>261</v>
      </c>
      <c r="B707" s="7" t="s">
        <v>177</v>
      </c>
      <c r="C707" s="24" t="s">
        <v>58</v>
      </c>
      <c r="D707" s="24" t="s">
        <v>61</v>
      </c>
      <c r="E707" s="8">
        <v>46163</v>
      </c>
      <c r="F707" s="8">
        <v>46174</v>
      </c>
      <c r="G707" s="9">
        <v>12</v>
      </c>
      <c r="H707" s="10">
        <v>1</v>
      </c>
      <c r="I707" s="10">
        <v>0</v>
      </c>
      <c r="J707" s="10">
        <v>0</v>
      </c>
      <c r="K707" s="11">
        <f t="shared" si="146"/>
        <v>8.3333333333333329E-2</v>
      </c>
      <c r="L707" s="11">
        <f t="shared" si="147"/>
        <v>0</v>
      </c>
      <c r="M707" s="12">
        <f t="shared" si="148"/>
        <v>0</v>
      </c>
      <c r="N707" s="11">
        <f t="shared" si="149"/>
        <v>0</v>
      </c>
      <c r="O707" s="12" t="str">
        <f t="shared" si="150"/>
        <v/>
      </c>
      <c r="P707" s="12">
        <f t="shared" si="151"/>
        <v>0</v>
      </c>
      <c r="Q707" s="13">
        <f t="shared" si="144"/>
        <v>0</v>
      </c>
      <c r="R707" s="13">
        <f t="shared" si="145"/>
        <v>0</v>
      </c>
    </row>
    <row r="708" spans="1:18" ht="15.75" customHeight="1" x14ac:dyDescent="0.3">
      <c r="A708" s="7" t="s">
        <v>261</v>
      </c>
      <c r="B708" s="7" t="s">
        <v>87</v>
      </c>
      <c r="C708" s="24" t="s">
        <v>58</v>
      </c>
      <c r="D708" s="24" t="s">
        <v>64</v>
      </c>
      <c r="E708" s="8">
        <v>46163</v>
      </c>
      <c r="F708" s="8">
        <v>46174</v>
      </c>
      <c r="G708" s="9">
        <v>12</v>
      </c>
      <c r="H708" s="10">
        <v>15</v>
      </c>
      <c r="I708" s="10">
        <v>10</v>
      </c>
      <c r="J708" s="10">
        <v>7</v>
      </c>
      <c r="K708" s="11">
        <f t="shared" si="146"/>
        <v>1.25</v>
      </c>
      <c r="L708" s="11">
        <f t="shared" si="147"/>
        <v>0.83333333333333337</v>
      </c>
      <c r="M708" s="12">
        <f t="shared" si="148"/>
        <v>0.66666666666666663</v>
      </c>
      <c r="N708" s="11">
        <f t="shared" si="149"/>
        <v>0.58333333333333337</v>
      </c>
      <c r="O708" s="12">
        <f t="shared" si="150"/>
        <v>0.7</v>
      </c>
      <c r="P708" s="12">
        <f t="shared" si="151"/>
        <v>0.46666666666666667</v>
      </c>
      <c r="Q708" s="13">
        <f t="shared" si="144"/>
        <v>0.83333333333333326</v>
      </c>
      <c r="R708" s="13">
        <f t="shared" si="145"/>
        <v>0.58333333333333337</v>
      </c>
    </row>
    <row r="709" spans="1:18" ht="15.75" customHeight="1" x14ac:dyDescent="0.3">
      <c r="A709" s="7" t="s">
        <v>261</v>
      </c>
      <c r="B709" s="7" t="s">
        <v>223</v>
      </c>
      <c r="C709" s="24" t="s">
        <v>58</v>
      </c>
      <c r="D709" s="24" t="s">
        <v>64</v>
      </c>
      <c r="E709" s="8">
        <v>46163</v>
      </c>
      <c r="F709" s="8">
        <v>46174</v>
      </c>
      <c r="G709" s="9">
        <v>12</v>
      </c>
      <c r="H709" s="10">
        <v>96</v>
      </c>
      <c r="I709" s="10">
        <v>44</v>
      </c>
      <c r="J709" s="10">
        <v>28</v>
      </c>
      <c r="K709" s="11">
        <f t="shared" si="146"/>
        <v>8</v>
      </c>
      <c r="L709" s="11">
        <f t="shared" si="147"/>
        <v>3.6666666666666665</v>
      </c>
      <c r="M709" s="12">
        <f t="shared" si="148"/>
        <v>0.45833333333333331</v>
      </c>
      <c r="N709" s="11">
        <f t="shared" si="149"/>
        <v>2.3333333333333335</v>
      </c>
      <c r="O709" s="12">
        <f t="shared" si="150"/>
        <v>0.63636363636363635</v>
      </c>
      <c r="P709" s="12">
        <f t="shared" si="151"/>
        <v>0.29166666666666669</v>
      </c>
      <c r="Q709" s="13">
        <f t="shared" si="144"/>
        <v>3.6666666666666665</v>
      </c>
      <c r="R709" s="13">
        <f t="shared" si="145"/>
        <v>2.3333333333333335</v>
      </c>
    </row>
    <row r="710" spans="1:18" ht="15.75" customHeight="1" x14ac:dyDescent="0.3">
      <c r="A710" s="7" t="s">
        <v>261</v>
      </c>
      <c r="B710" s="7" t="s">
        <v>108</v>
      </c>
      <c r="C710" s="24" t="s">
        <v>58</v>
      </c>
      <c r="D710" s="24" t="s">
        <v>66</v>
      </c>
      <c r="E710" s="8">
        <v>46163</v>
      </c>
      <c r="F710" s="8">
        <v>46174</v>
      </c>
      <c r="G710" s="9">
        <v>12</v>
      </c>
      <c r="H710" s="10">
        <v>735</v>
      </c>
      <c r="I710" s="10">
        <v>209</v>
      </c>
      <c r="J710" s="10">
        <v>114</v>
      </c>
      <c r="K710" s="11">
        <f t="shared" si="146"/>
        <v>61.25</v>
      </c>
      <c r="L710" s="11">
        <f t="shared" si="147"/>
        <v>17.416666666666668</v>
      </c>
      <c r="M710" s="12">
        <f t="shared" si="148"/>
        <v>0.28435374149659864</v>
      </c>
      <c r="N710" s="11">
        <f t="shared" si="149"/>
        <v>9.5</v>
      </c>
      <c r="O710" s="12">
        <f t="shared" si="150"/>
        <v>0.54545454545454541</v>
      </c>
      <c r="P710" s="12">
        <f t="shared" si="151"/>
        <v>0.15510204081632653</v>
      </c>
      <c r="Q710" s="13">
        <f t="shared" si="144"/>
        <v>17.416666666666668</v>
      </c>
      <c r="R710" s="13">
        <f t="shared" si="145"/>
        <v>9.5</v>
      </c>
    </row>
    <row r="711" spans="1:18" ht="15.75" customHeight="1" x14ac:dyDescent="0.3">
      <c r="A711" s="7" t="s">
        <v>261</v>
      </c>
      <c r="B711" s="7" t="s">
        <v>109</v>
      </c>
      <c r="C711" s="24" t="s">
        <v>58</v>
      </c>
      <c r="D711" s="24" t="s">
        <v>68</v>
      </c>
      <c r="E711" s="8">
        <v>46163</v>
      </c>
      <c r="F711" s="8">
        <v>46174</v>
      </c>
      <c r="G711" s="9">
        <v>12</v>
      </c>
      <c r="H711" s="10">
        <v>124</v>
      </c>
      <c r="I711" s="10">
        <v>50</v>
      </c>
      <c r="J711" s="10">
        <v>34</v>
      </c>
      <c r="K711" s="11">
        <f t="shared" si="146"/>
        <v>10.333333333333334</v>
      </c>
      <c r="L711" s="11">
        <f t="shared" si="147"/>
        <v>4.166666666666667</v>
      </c>
      <c r="M711" s="12">
        <f t="shared" si="148"/>
        <v>0.40322580645161288</v>
      </c>
      <c r="N711" s="11">
        <f t="shared" si="149"/>
        <v>2.8333333333333335</v>
      </c>
      <c r="O711" s="12">
        <f t="shared" si="150"/>
        <v>0.68</v>
      </c>
      <c r="P711" s="12">
        <f t="shared" si="151"/>
        <v>0.27419354838709675</v>
      </c>
      <c r="Q711" s="13">
        <f t="shared" si="144"/>
        <v>4.166666666666667</v>
      </c>
      <c r="R711" s="13">
        <f t="shared" si="145"/>
        <v>2.8333333333333335</v>
      </c>
    </row>
    <row r="712" spans="1:18" ht="15.75" customHeight="1" x14ac:dyDescent="0.3">
      <c r="A712" s="7" t="s">
        <v>261</v>
      </c>
      <c r="B712" s="7" t="s">
        <v>238</v>
      </c>
      <c r="C712" s="24" t="s">
        <v>58</v>
      </c>
      <c r="D712" s="24" t="s">
        <v>66</v>
      </c>
      <c r="E712" s="8">
        <v>46163</v>
      </c>
      <c r="F712" s="8">
        <v>46174</v>
      </c>
      <c r="G712" s="9">
        <v>12</v>
      </c>
      <c r="H712" s="10">
        <v>66</v>
      </c>
      <c r="I712" s="10">
        <v>25</v>
      </c>
      <c r="J712" s="10">
        <v>15</v>
      </c>
      <c r="K712" s="11">
        <f t="shared" si="146"/>
        <v>5.5</v>
      </c>
      <c r="L712" s="11">
        <f t="shared" si="147"/>
        <v>2.0833333333333335</v>
      </c>
      <c r="M712" s="12">
        <f t="shared" si="148"/>
        <v>0.37878787878787878</v>
      </c>
      <c r="N712" s="11">
        <f t="shared" si="149"/>
        <v>1.25</v>
      </c>
      <c r="O712" s="12">
        <f t="shared" si="150"/>
        <v>0.6</v>
      </c>
      <c r="P712" s="12">
        <f t="shared" si="151"/>
        <v>0.22727272727272727</v>
      </c>
      <c r="Q712" s="13">
        <f t="shared" si="144"/>
        <v>2.0833333333333335</v>
      </c>
      <c r="R712" s="13">
        <f t="shared" si="145"/>
        <v>1.25</v>
      </c>
    </row>
    <row r="713" spans="1:18" ht="15.75" customHeight="1" x14ac:dyDescent="0.3">
      <c r="A713" s="7" t="s">
        <v>261</v>
      </c>
      <c r="B713" s="7" t="s">
        <v>131</v>
      </c>
      <c r="C713" s="24" t="s">
        <v>58</v>
      </c>
      <c r="D713" s="24" t="s">
        <v>74</v>
      </c>
      <c r="E713" s="8">
        <v>46163</v>
      </c>
      <c r="F713" s="8">
        <v>46174</v>
      </c>
      <c r="G713" s="9">
        <v>12</v>
      </c>
      <c r="H713" s="10">
        <v>187</v>
      </c>
      <c r="I713" s="10">
        <v>62</v>
      </c>
      <c r="J713" s="10">
        <v>47</v>
      </c>
      <c r="K713" s="11">
        <f t="shared" si="146"/>
        <v>15.583333333333334</v>
      </c>
      <c r="L713" s="11">
        <f t="shared" si="147"/>
        <v>5.166666666666667</v>
      </c>
      <c r="M713" s="12">
        <f t="shared" si="148"/>
        <v>0.33155080213903743</v>
      </c>
      <c r="N713" s="11">
        <f t="shared" si="149"/>
        <v>3.9166666666666665</v>
      </c>
      <c r="O713" s="12">
        <f t="shared" si="150"/>
        <v>0.75806451612903225</v>
      </c>
      <c r="P713" s="12">
        <f t="shared" si="151"/>
        <v>0.25133689839572193</v>
      </c>
      <c r="Q713" s="13">
        <f t="shared" si="144"/>
        <v>5.166666666666667</v>
      </c>
      <c r="R713" s="13">
        <f t="shared" si="145"/>
        <v>3.916666666666667</v>
      </c>
    </row>
    <row r="714" spans="1:18" ht="15.75" customHeight="1" x14ac:dyDescent="0.3">
      <c r="A714" s="7" t="s">
        <v>261</v>
      </c>
      <c r="B714" s="7" t="s">
        <v>180</v>
      </c>
      <c r="C714" s="24" t="s">
        <v>58</v>
      </c>
      <c r="D714" s="24" t="s">
        <v>59</v>
      </c>
      <c r="E714" s="8">
        <v>46163</v>
      </c>
      <c r="F714" s="8">
        <v>46174</v>
      </c>
      <c r="G714" s="9">
        <v>12</v>
      </c>
      <c r="H714" s="10">
        <v>261</v>
      </c>
      <c r="I714" s="10">
        <v>104</v>
      </c>
      <c r="J714" s="10">
        <v>84</v>
      </c>
      <c r="K714" s="11">
        <f t="shared" si="146"/>
        <v>21.75</v>
      </c>
      <c r="L714" s="11">
        <f t="shared" si="147"/>
        <v>8.6666666666666661</v>
      </c>
      <c r="M714" s="12">
        <f t="shared" si="148"/>
        <v>0.39846743295019155</v>
      </c>
      <c r="N714" s="11">
        <f t="shared" si="149"/>
        <v>7</v>
      </c>
      <c r="O714" s="12">
        <f t="shared" si="150"/>
        <v>0.80769230769230771</v>
      </c>
      <c r="P714" s="12">
        <f t="shared" si="151"/>
        <v>0.32183908045977011</v>
      </c>
      <c r="Q714" s="13">
        <f t="shared" si="144"/>
        <v>8.6666666666666661</v>
      </c>
      <c r="R714" s="13">
        <f t="shared" si="145"/>
        <v>7</v>
      </c>
    </row>
    <row r="715" spans="1:18" ht="15.75" customHeight="1" x14ac:dyDescent="0.3">
      <c r="A715" s="7" t="s">
        <v>261</v>
      </c>
      <c r="B715" s="7" t="s">
        <v>79</v>
      </c>
      <c r="C715" s="24" t="s">
        <v>34</v>
      </c>
      <c r="D715" s="24" t="s">
        <v>35</v>
      </c>
      <c r="E715" s="8">
        <v>46163</v>
      </c>
      <c r="F715" s="8">
        <v>46174</v>
      </c>
      <c r="G715" s="9">
        <v>12</v>
      </c>
      <c r="H715" s="10">
        <v>861</v>
      </c>
      <c r="I715" s="10">
        <v>246</v>
      </c>
      <c r="J715" s="10">
        <v>144</v>
      </c>
      <c r="K715" s="11">
        <f t="shared" si="146"/>
        <v>71.75</v>
      </c>
      <c r="L715" s="11">
        <f t="shared" si="147"/>
        <v>20.5</v>
      </c>
      <c r="M715" s="12">
        <f t="shared" si="148"/>
        <v>0.2857142857142857</v>
      </c>
      <c r="N715" s="11">
        <f t="shared" si="149"/>
        <v>12</v>
      </c>
      <c r="O715" s="12">
        <f t="shared" si="150"/>
        <v>0.58536585365853655</v>
      </c>
      <c r="P715" s="12">
        <f t="shared" si="151"/>
        <v>0.1672473867595819</v>
      </c>
      <c r="Q715" s="13">
        <f t="shared" si="144"/>
        <v>20.5</v>
      </c>
      <c r="R715" s="13">
        <f t="shared" si="145"/>
        <v>12.000000000000002</v>
      </c>
    </row>
    <row r="716" spans="1:18" ht="15.75" customHeight="1" x14ac:dyDescent="0.3">
      <c r="A716" s="7" t="s">
        <v>261</v>
      </c>
      <c r="B716" s="7" t="s">
        <v>81</v>
      </c>
      <c r="C716" s="24" t="s">
        <v>34</v>
      </c>
      <c r="D716" s="24" t="s">
        <v>35</v>
      </c>
      <c r="E716" s="8">
        <v>46163</v>
      </c>
      <c r="F716" s="8">
        <v>46174</v>
      </c>
      <c r="G716" s="9">
        <v>12</v>
      </c>
      <c r="H716" s="10">
        <v>152</v>
      </c>
      <c r="I716" s="10">
        <v>43</v>
      </c>
      <c r="J716" s="10">
        <v>22</v>
      </c>
      <c r="K716" s="11">
        <f t="shared" si="146"/>
        <v>12.666666666666666</v>
      </c>
      <c r="L716" s="11">
        <f t="shared" si="147"/>
        <v>3.5833333333333335</v>
      </c>
      <c r="M716" s="12">
        <f t="shared" si="148"/>
        <v>0.28289473684210525</v>
      </c>
      <c r="N716" s="11">
        <f t="shared" si="149"/>
        <v>1.8333333333333333</v>
      </c>
      <c r="O716" s="12">
        <f t="shared" si="150"/>
        <v>0.51162790697674421</v>
      </c>
      <c r="P716" s="12">
        <f t="shared" si="151"/>
        <v>0.14473684210526316</v>
      </c>
      <c r="Q716" s="13">
        <f t="shared" si="144"/>
        <v>3.583333333333333</v>
      </c>
      <c r="R716" s="13">
        <f t="shared" si="145"/>
        <v>1.8333333333333333</v>
      </c>
    </row>
    <row r="717" spans="1:18" ht="15.75" customHeight="1" x14ac:dyDescent="0.3">
      <c r="A717" s="7" t="s">
        <v>261</v>
      </c>
      <c r="B717" s="7" t="s">
        <v>90</v>
      </c>
      <c r="C717" s="24" t="s">
        <v>34</v>
      </c>
      <c r="D717" s="24" t="s">
        <v>91</v>
      </c>
      <c r="E717" s="8">
        <v>46163</v>
      </c>
      <c r="F717" s="8">
        <v>46174</v>
      </c>
      <c r="G717" s="9">
        <v>12</v>
      </c>
      <c r="H717" s="10">
        <v>139</v>
      </c>
      <c r="I717" s="10">
        <v>47</v>
      </c>
      <c r="J717" s="10">
        <v>31</v>
      </c>
      <c r="K717" s="11">
        <f t="shared" si="146"/>
        <v>11.583333333333334</v>
      </c>
      <c r="L717" s="11">
        <f t="shared" si="147"/>
        <v>3.9166666666666665</v>
      </c>
      <c r="M717" s="12">
        <f t="shared" si="148"/>
        <v>0.33812949640287771</v>
      </c>
      <c r="N717" s="11">
        <f t="shared" si="149"/>
        <v>2.5833333333333335</v>
      </c>
      <c r="O717" s="12">
        <f t="shared" si="150"/>
        <v>0.65957446808510634</v>
      </c>
      <c r="P717" s="12">
        <f t="shared" si="151"/>
        <v>0.22302158273381295</v>
      </c>
      <c r="Q717" s="13">
        <f t="shared" si="144"/>
        <v>3.916666666666667</v>
      </c>
      <c r="R717" s="13">
        <f t="shared" si="145"/>
        <v>2.5833333333333335</v>
      </c>
    </row>
    <row r="718" spans="1:18" ht="15.75" customHeight="1" x14ac:dyDescent="0.3">
      <c r="A718" s="7" t="s">
        <v>261</v>
      </c>
      <c r="B718" s="7" t="s">
        <v>228</v>
      </c>
      <c r="C718" s="24" t="s">
        <v>34</v>
      </c>
      <c r="D718" s="24" t="s">
        <v>39</v>
      </c>
      <c r="E718" s="8">
        <v>46163</v>
      </c>
      <c r="F718" s="8">
        <v>46174</v>
      </c>
      <c r="G718" s="9">
        <v>12</v>
      </c>
      <c r="H718" s="10">
        <v>143</v>
      </c>
      <c r="I718" s="10">
        <v>23</v>
      </c>
      <c r="J718" s="10">
        <v>15</v>
      </c>
      <c r="K718" s="11">
        <f t="shared" si="146"/>
        <v>11.916666666666666</v>
      </c>
      <c r="L718" s="11">
        <f t="shared" si="147"/>
        <v>1.9166666666666667</v>
      </c>
      <c r="M718" s="12">
        <f t="shared" si="148"/>
        <v>0.16083916083916083</v>
      </c>
      <c r="N718" s="11">
        <f t="shared" si="149"/>
        <v>1.25</v>
      </c>
      <c r="O718" s="12">
        <f t="shared" si="150"/>
        <v>0.65217391304347827</v>
      </c>
      <c r="P718" s="12">
        <f t="shared" si="151"/>
        <v>0.1048951048951049</v>
      </c>
      <c r="Q718" s="13">
        <f t="shared" si="144"/>
        <v>1.9166666666666665</v>
      </c>
      <c r="R718" s="13">
        <f t="shared" si="145"/>
        <v>1.25</v>
      </c>
    </row>
    <row r="719" spans="1:18" ht="15.75" customHeight="1" x14ac:dyDescent="0.3">
      <c r="A719" s="7" t="s">
        <v>261</v>
      </c>
      <c r="B719" s="7" t="s">
        <v>229</v>
      </c>
      <c r="C719" s="24" t="s">
        <v>34</v>
      </c>
      <c r="D719" s="24" t="s">
        <v>39</v>
      </c>
      <c r="E719" s="8">
        <v>46163</v>
      </c>
      <c r="F719" s="8">
        <v>46174</v>
      </c>
      <c r="G719" s="9">
        <v>12</v>
      </c>
      <c r="H719" s="10">
        <v>5</v>
      </c>
      <c r="I719" s="10">
        <v>0</v>
      </c>
      <c r="J719" s="10">
        <v>0</v>
      </c>
      <c r="K719" s="11">
        <f t="shared" si="146"/>
        <v>0.41666666666666669</v>
      </c>
      <c r="L719" s="11">
        <f t="shared" si="147"/>
        <v>0</v>
      </c>
      <c r="M719" s="12">
        <f t="shared" si="148"/>
        <v>0</v>
      </c>
      <c r="N719" s="11">
        <f t="shared" si="149"/>
        <v>0</v>
      </c>
      <c r="O719" s="12" t="str">
        <f t="shared" si="150"/>
        <v/>
      </c>
      <c r="P719" s="12">
        <f t="shared" si="151"/>
        <v>0</v>
      </c>
      <c r="Q719" s="13">
        <f t="shared" si="144"/>
        <v>0</v>
      </c>
      <c r="R719" s="13">
        <f t="shared" si="145"/>
        <v>0</v>
      </c>
    </row>
    <row r="720" spans="1:18" ht="15.75" customHeight="1" x14ac:dyDescent="0.3">
      <c r="A720" s="7" t="s">
        <v>261</v>
      </c>
      <c r="B720" s="7" t="s">
        <v>256</v>
      </c>
      <c r="C720" s="24" t="s">
        <v>34</v>
      </c>
      <c r="D720" s="24" t="s">
        <v>44</v>
      </c>
      <c r="E720" s="8">
        <v>46163</v>
      </c>
      <c r="F720" s="8">
        <v>46174</v>
      </c>
      <c r="G720" s="9">
        <v>12</v>
      </c>
      <c r="H720" s="10">
        <v>161</v>
      </c>
      <c r="I720" s="10">
        <v>27</v>
      </c>
      <c r="J720" s="10">
        <v>24</v>
      </c>
      <c r="K720" s="11">
        <f t="shared" si="146"/>
        <v>13.416666666666666</v>
      </c>
      <c r="L720" s="11">
        <f t="shared" si="147"/>
        <v>2.25</v>
      </c>
      <c r="M720" s="12">
        <f t="shared" si="148"/>
        <v>0.16770186335403728</v>
      </c>
      <c r="N720" s="11">
        <f t="shared" si="149"/>
        <v>2</v>
      </c>
      <c r="O720" s="12">
        <f t="shared" si="150"/>
        <v>0.88888888888888884</v>
      </c>
      <c r="P720" s="12">
        <f t="shared" si="151"/>
        <v>0.14906832298136646</v>
      </c>
      <c r="Q720" s="13">
        <f t="shared" si="144"/>
        <v>2.25</v>
      </c>
      <c r="R720" s="13">
        <f t="shared" si="145"/>
        <v>2</v>
      </c>
    </row>
    <row r="721" spans="1:18" ht="15.75" customHeight="1" x14ac:dyDescent="0.3">
      <c r="A721" s="7" t="s">
        <v>261</v>
      </c>
      <c r="B721" s="7" t="s">
        <v>257</v>
      </c>
      <c r="C721" s="24" t="s">
        <v>34</v>
      </c>
      <c r="D721" s="24" t="s">
        <v>447</v>
      </c>
      <c r="E721" s="8">
        <v>46163</v>
      </c>
      <c r="F721" s="8">
        <v>46174</v>
      </c>
      <c r="G721" s="9">
        <v>12</v>
      </c>
      <c r="H721" s="10" t="s">
        <v>433</v>
      </c>
      <c r="I721" s="10" t="s">
        <v>433</v>
      </c>
      <c r="J721" s="10" t="s">
        <v>433</v>
      </c>
      <c r="K721" s="11" t="str">
        <f t="shared" si="146"/>
        <v/>
      </c>
      <c r="L721" s="11" t="str">
        <f t="shared" si="147"/>
        <v/>
      </c>
      <c r="M721" s="12" t="str">
        <f t="shared" si="148"/>
        <v/>
      </c>
      <c r="N721" s="11" t="str">
        <f t="shared" si="149"/>
        <v/>
      </c>
      <c r="O721" s="12" t="str">
        <f t="shared" si="150"/>
        <v/>
      </c>
      <c r="P721" s="12" t="str">
        <f t="shared" si="151"/>
        <v/>
      </c>
    </row>
    <row r="722" spans="1:18" ht="15.75" customHeight="1" x14ac:dyDescent="0.3">
      <c r="A722" s="7" t="s">
        <v>261</v>
      </c>
      <c r="B722" s="7" t="s">
        <v>184</v>
      </c>
      <c r="C722" s="24" t="s">
        <v>47</v>
      </c>
      <c r="D722" s="24" t="s">
        <v>48</v>
      </c>
      <c r="E722" s="8">
        <v>46163</v>
      </c>
      <c r="F722" s="8">
        <v>46174</v>
      </c>
      <c r="G722" s="9">
        <v>12</v>
      </c>
      <c r="H722" s="10">
        <v>846</v>
      </c>
      <c r="I722" s="10">
        <v>286</v>
      </c>
      <c r="J722" s="10">
        <v>213</v>
      </c>
      <c r="K722" s="11">
        <f t="shared" si="146"/>
        <v>70.5</v>
      </c>
      <c r="L722" s="11">
        <f t="shared" si="147"/>
        <v>23.833333333333332</v>
      </c>
      <c r="M722" s="12">
        <f t="shared" si="148"/>
        <v>0.33806146572104018</v>
      </c>
      <c r="N722" s="11">
        <f t="shared" si="149"/>
        <v>17.75</v>
      </c>
      <c r="O722" s="12">
        <f t="shared" si="150"/>
        <v>0.74475524475524479</v>
      </c>
      <c r="P722" s="12">
        <f t="shared" si="151"/>
        <v>0.25177304964539005</v>
      </c>
      <c r="Q722" s="13">
        <f t="shared" ref="Q722:Q731" si="152">IFERROR((I722/H722)*K722,"")</f>
        <v>23.833333333333332</v>
      </c>
      <c r="R722" s="13">
        <f t="shared" ref="R722:R731" si="153">IFERROR((J722/H722)*K722,"")</f>
        <v>17.75</v>
      </c>
    </row>
    <row r="723" spans="1:18" ht="15.75" customHeight="1" x14ac:dyDescent="0.3">
      <c r="A723" s="7" t="s">
        <v>261</v>
      </c>
      <c r="B723" s="7" t="s">
        <v>185</v>
      </c>
      <c r="C723" s="24" t="s">
        <v>47</v>
      </c>
      <c r="D723" s="24" t="s">
        <v>48</v>
      </c>
      <c r="E723" s="8">
        <v>46163</v>
      </c>
      <c r="F723" s="8">
        <v>46174</v>
      </c>
      <c r="G723" s="9">
        <v>12</v>
      </c>
      <c r="H723" s="10">
        <v>19</v>
      </c>
      <c r="I723" s="10">
        <v>8</v>
      </c>
      <c r="J723" s="10">
        <v>4</v>
      </c>
      <c r="K723" s="11">
        <f t="shared" si="146"/>
        <v>1.5833333333333333</v>
      </c>
      <c r="L723" s="11">
        <f t="shared" si="147"/>
        <v>0.66666666666666663</v>
      </c>
      <c r="M723" s="12">
        <f t="shared" si="148"/>
        <v>0.42105263157894735</v>
      </c>
      <c r="N723" s="11">
        <f t="shared" si="149"/>
        <v>0.33333333333333331</v>
      </c>
      <c r="O723" s="12">
        <f t="shared" si="150"/>
        <v>0.5</v>
      </c>
      <c r="P723" s="12">
        <f t="shared" si="151"/>
        <v>0.21052631578947367</v>
      </c>
      <c r="Q723" s="13">
        <f t="shared" si="152"/>
        <v>0.66666666666666663</v>
      </c>
      <c r="R723" s="13">
        <f t="shared" si="153"/>
        <v>0.33333333333333331</v>
      </c>
    </row>
    <row r="724" spans="1:18" ht="15.75" customHeight="1" x14ac:dyDescent="0.3">
      <c r="A724" s="7" t="s">
        <v>261</v>
      </c>
      <c r="B724" s="7" t="s">
        <v>50</v>
      </c>
      <c r="C724" s="24" t="s">
        <v>47</v>
      </c>
      <c r="D724" s="24" t="s">
        <v>48</v>
      </c>
      <c r="E724" s="8">
        <v>46163</v>
      </c>
      <c r="F724" s="8">
        <v>46174</v>
      </c>
      <c r="G724" s="9">
        <v>12</v>
      </c>
      <c r="H724" s="10">
        <v>144</v>
      </c>
      <c r="I724" s="10">
        <v>40</v>
      </c>
      <c r="J724" s="10">
        <v>32</v>
      </c>
      <c r="K724" s="11">
        <f t="shared" si="146"/>
        <v>12</v>
      </c>
      <c r="L724" s="11">
        <f t="shared" si="147"/>
        <v>3.3333333333333335</v>
      </c>
      <c r="M724" s="12">
        <f t="shared" si="148"/>
        <v>0.27777777777777779</v>
      </c>
      <c r="N724" s="11">
        <f t="shared" si="149"/>
        <v>2.6666666666666665</v>
      </c>
      <c r="O724" s="12">
        <f t="shared" si="150"/>
        <v>0.8</v>
      </c>
      <c r="P724" s="12">
        <f t="shared" si="151"/>
        <v>0.22222222222222221</v>
      </c>
      <c r="Q724" s="13">
        <f t="shared" si="152"/>
        <v>3.3333333333333335</v>
      </c>
      <c r="R724" s="13">
        <f t="shared" si="153"/>
        <v>2.6666666666666665</v>
      </c>
    </row>
    <row r="725" spans="1:18" ht="15.75" customHeight="1" x14ac:dyDescent="0.3">
      <c r="A725" s="7" t="s">
        <v>261</v>
      </c>
      <c r="B725" s="7" t="s">
        <v>51</v>
      </c>
      <c r="C725" s="24" t="s">
        <v>47</v>
      </c>
      <c r="D725" s="24" t="s">
        <v>48</v>
      </c>
      <c r="E725" s="8">
        <v>46163</v>
      </c>
      <c r="F725" s="8">
        <v>46174</v>
      </c>
      <c r="G725" s="9">
        <v>12</v>
      </c>
      <c r="H725" s="10">
        <v>8</v>
      </c>
      <c r="I725" s="10">
        <v>2</v>
      </c>
      <c r="J725" s="10">
        <v>2</v>
      </c>
      <c r="K725" s="11">
        <f t="shared" si="146"/>
        <v>0.66666666666666663</v>
      </c>
      <c r="L725" s="11">
        <f t="shared" si="147"/>
        <v>0.16666666666666666</v>
      </c>
      <c r="M725" s="12">
        <f t="shared" si="148"/>
        <v>0.25</v>
      </c>
      <c r="N725" s="11">
        <f t="shared" si="149"/>
        <v>0.16666666666666666</v>
      </c>
      <c r="O725" s="12">
        <f t="shared" si="150"/>
        <v>1</v>
      </c>
      <c r="P725" s="12">
        <f t="shared" si="151"/>
        <v>0.25</v>
      </c>
      <c r="Q725" s="13">
        <f t="shared" si="152"/>
        <v>0.16666666666666666</v>
      </c>
      <c r="R725" s="13">
        <f t="shared" si="153"/>
        <v>0.16666666666666666</v>
      </c>
    </row>
    <row r="726" spans="1:18" ht="15.75" customHeight="1" x14ac:dyDescent="0.3">
      <c r="A726" s="7" t="s">
        <v>261</v>
      </c>
      <c r="B726" s="7" t="s">
        <v>258</v>
      </c>
      <c r="C726" s="24" t="s">
        <v>47</v>
      </c>
      <c r="D726" s="24" t="s">
        <v>53</v>
      </c>
      <c r="E726" s="8">
        <v>46163</v>
      </c>
      <c r="F726" s="8">
        <v>46174</v>
      </c>
      <c r="G726" s="9">
        <v>12</v>
      </c>
      <c r="H726" s="10">
        <v>315</v>
      </c>
      <c r="I726" s="10">
        <v>97</v>
      </c>
      <c r="J726" s="10">
        <v>77</v>
      </c>
      <c r="K726" s="11">
        <f t="shared" si="146"/>
        <v>26.25</v>
      </c>
      <c r="L726" s="11">
        <f t="shared" si="147"/>
        <v>8.0833333333333339</v>
      </c>
      <c r="M726" s="12">
        <f t="shared" si="148"/>
        <v>0.30793650793650795</v>
      </c>
      <c r="N726" s="11">
        <f t="shared" si="149"/>
        <v>6.416666666666667</v>
      </c>
      <c r="O726" s="12">
        <f t="shared" si="150"/>
        <v>0.79381443298969068</v>
      </c>
      <c r="P726" s="12">
        <f t="shared" si="151"/>
        <v>0.24444444444444444</v>
      </c>
      <c r="Q726" s="13">
        <f t="shared" si="152"/>
        <v>8.0833333333333339</v>
      </c>
      <c r="R726" s="13">
        <f t="shared" si="153"/>
        <v>6.4166666666666661</v>
      </c>
    </row>
    <row r="727" spans="1:18" ht="15.75" customHeight="1" x14ac:dyDescent="0.3">
      <c r="A727" s="7" t="s">
        <v>261</v>
      </c>
      <c r="B727" s="7" t="s">
        <v>216</v>
      </c>
      <c r="C727" s="24" t="s">
        <v>47</v>
      </c>
      <c r="D727" s="24" t="s">
        <v>53</v>
      </c>
      <c r="E727" s="8">
        <v>46163</v>
      </c>
      <c r="F727" s="8">
        <v>46174</v>
      </c>
      <c r="G727" s="9">
        <v>12</v>
      </c>
      <c r="H727" s="10">
        <v>238</v>
      </c>
      <c r="I727" s="10">
        <v>87</v>
      </c>
      <c r="J727" s="10">
        <v>56</v>
      </c>
      <c r="K727" s="11">
        <f t="shared" si="146"/>
        <v>19.833333333333332</v>
      </c>
      <c r="L727" s="11">
        <f t="shared" si="147"/>
        <v>7.25</v>
      </c>
      <c r="M727" s="12">
        <f t="shared" si="148"/>
        <v>0.36554621848739494</v>
      </c>
      <c r="N727" s="11">
        <f t="shared" si="149"/>
        <v>4.666666666666667</v>
      </c>
      <c r="O727" s="12">
        <f t="shared" si="150"/>
        <v>0.64367816091954022</v>
      </c>
      <c r="P727" s="12">
        <f t="shared" si="151"/>
        <v>0.23529411764705882</v>
      </c>
      <c r="Q727" s="13">
        <f t="shared" si="152"/>
        <v>7.2499999999999991</v>
      </c>
      <c r="R727" s="13">
        <f t="shared" si="153"/>
        <v>4.6666666666666661</v>
      </c>
    </row>
    <row r="728" spans="1:18" ht="15.75" customHeight="1" x14ac:dyDescent="0.3">
      <c r="A728" s="7" t="s">
        <v>261</v>
      </c>
      <c r="B728" s="7" t="s">
        <v>158</v>
      </c>
      <c r="C728" s="24" t="s">
        <v>47</v>
      </c>
      <c r="D728" s="24" t="s">
        <v>53</v>
      </c>
      <c r="E728" s="8">
        <v>46163</v>
      </c>
      <c r="F728" s="8">
        <v>46174</v>
      </c>
      <c r="G728" s="9">
        <v>12</v>
      </c>
      <c r="H728" s="10">
        <v>99</v>
      </c>
      <c r="I728" s="10">
        <v>33</v>
      </c>
      <c r="J728" s="10">
        <v>14</v>
      </c>
      <c r="K728" s="11">
        <f t="shared" si="146"/>
        <v>8.25</v>
      </c>
      <c r="L728" s="11">
        <f t="shared" si="147"/>
        <v>2.75</v>
      </c>
      <c r="M728" s="12">
        <f t="shared" si="148"/>
        <v>0.33333333333333331</v>
      </c>
      <c r="N728" s="11">
        <f t="shared" si="149"/>
        <v>1.1666666666666667</v>
      </c>
      <c r="O728" s="12">
        <f t="shared" si="150"/>
        <v>0.42424242424242425</v>
      </c>
      <c r="P728" s="12">
        <f t="shared" si="151"/>
        <v>0.14141414141414141</v>
      </c>
      <c r="Q728" s="13">
        <f t="shared" si="152"/>
        <v>2.75</v>
      </c>
      <c r="R728" s="13">
        <f t="shared" si="153"/>
        <v>1.1666666666666665</v>
      </c>
    </row>
    <row r="729" spans="1:18" ht="15.75" customHeight="1" x14ac:dyDescent="0.3">
      <c r="A729" s="7" t="s">
        <v>261</v>
      </c>
      <c r="B729" s="7" t="s">
        <v>157</v>
      </c>
      <c r="C729" s="24" t="s">
        <v>47</v>
      </c>
      <c r="D729" s="24" t="s">
        <v>53</v>
      </c>
      <c r="E729" s="8">
        <v>46163</v>
      </c>
      <c r="F729" s="8">
        <v>46174</v>
      </c>
      <c r="G729" s="9">
        <v>12</v>
      </c>
      <c r="H729" s="10">
        <v>83</v>
      </c>
      <c r="I729" s="10">
        <v>17</v>
      </c>
      <c r="J729" s="10">
        <v>12</v>
      </c>
      <c r="K729" s="11">
        <f t="shared" si="146"/>
        <v>6.916666666666667</v>
      </c>
      <c r="L729" s="11">
        <f t="shared" si="147"/>
        <v>1.4166666666666667</v>
      </c>
      <c r="M729" s="12">
        <f t="shared" si="148"/>
        <v>0.20481927710843373</v>
      </c>
      <c r="N729" s="11">
        <f t="shared" si="149"/>
        <v>1</v>
      </c>
      <c r="O729" s="12">
        <f t="shared" si="150"/>
        <v>0.70588235294117652</v>
      </c>
      <c r="P729" s="12">
        <f t="shared" si="151"/>
        <v>0.14457831325301204</v>
      </c>
      <c r="Q729" s="13">
        <f t="shared" si="152"/>
        <v>1.4166666666666667</v>
      </c>
      <c r="R729" s="13">
        <f t="shared" si="153"/>
        <v>1</v>
      </c>
    </row>
    <row r="730" spans="1:18" ht="15.75" customHeight="1" x14ac:dyDescent="0.3">
      <c r="A730" s="7" t="s">
        <v>261</v>
      </c>
      <c r="B730" s="7" t="s">
        <v>102</v>
      </c>
      <c r="C730" s="24" t="s">
        <v>58</v>
      </c>
      <c r="D730" s="24" t="s">
        <v>103</v>
      </c>
      <c r="E730" s="8">
        <v>46163</v>
      </c>
      <c r="F730" s="8">
        <v>46174</v>
      </c>
      <c r="G730" s="9">
        <v>12</v>
      </c>
      <c r="H730" s="10">
        <v>357</v>
      </c>
      <c r="I730" s="10">
        <v>91</v>
      </c>
      <c r="J730" s="10">
        <v>57</v>
      </c>
      <c r="K730" s="11">
        <f t="shared" si="146"/>
        <v>29.75</v>
      </c>
      <c r="L730" s="11">
        <f t="shared" si="147"/>
        <v>7.583333333333333</v>
      </c>
      <c r="M730" s="12">
        <f t="shared" si="148"/>
        <v>0.25490196078431371</v>
      </c>
      <c r="N730" s="11">
        <f t="shared" si="149"/>
        <v>4.75</v>
      </c>
      <c r="O730" s="12">
        <f t="shared" si="150"/>
        <v>0.62637362637362637</v>
      </c>
      <c r="P730" s="12">
        <f t="shared" si="151"/>
        <v>0.15966386554621848</v>
      </c>
      <c r="Q730" s="13">
        <f t="shared" si="152"/>
        <v>7.583333333333333</v>
      </c>
      <c r="R730" s="13">
        <f t="shared" si="153"/>
        <v>4.75</v>
      </c>
    </row>
    <row r="731" spans="1:18" ht="15.75" customHeight="1" x14ac:dyDescent="0.3">
      <c r="A731" s="7" t="s">
        <v>261</v>
      </c>
      <c r="B731" s="7" t="s">
        <v>106</v>
      </c>
      <c r="C731" s="24" t="s">
        <v>58</v>
      </c>
      <c r="D731" s="24" t="s">
        <v>107</v>
      </c>
      <c r="E731" s="8">
        <v>46163</v>
      </c>
      <c r="F731" s="8">
        <v>46174</v>
      </c>
      <c r="G731" s="9">
        <v>12</v>
      </c>
      <c r="H731" s="10">
        <v>8</v>
      </c>
      <c r="I731" s="10">
        <v>5</v>
      </c>
      <c r="J731" s="10">
        <v>4</v>
      </c>
      <c r="K731" s="11">
        <f t="shared" si="146"/>
        <v>0.66666666666666663</v>
      </c>
      <c r="L731" s="11">
        <f t="shared" si="147"/>
        <v>0.41666666666666669</v>
      </c>
      <c r="M731" s="12">
        <f t="shared" si="148"/>
        <v>0.625</v>
      </c>
      <c r="N731" s="11">
        <f t="shared" si="149"/>
        <v>0.33333333333333331</v>
      </c>
      <c r="O731" s="12">
        <f t="shared" si="150"/>
        <v>0.8</v>
      </c>
      <c r="P731" s="12">
        <f t="shared" si="151"/>
        <v>0.5</v>
      </c>
      <c r="Q731" s="13">
        <f t="shared" si="152"/>
        <v>0.41666666666666663</v>
      </c>
      <c r="R731" s="13">
        <f t="shared" si="153"/>
        <v>0.33333333333333331</v>
      </c>
    </row>
    <row r="732" spans="1:18" ht="15.75" customHeight="1" x14ac:dyDescent="0.3">
      <c r="A732" s="7" t="s">
        <v>261</v>
      </c>
      <c r="B732" s="7" t="s">
        <v>259</v>
      </c>
      <c r="C732" s="24" t="s">
        <v>58</v>
      </c>
      <c r="D732" s="24" t="s">
        <v>193</v>
      </c>
      <c r="E732" s="8">
        <v>46163</v>
      </c>
      <c r="F732" s="8">
        <v>46174</v>
      </c>
      <c r="G732" s="9">
        <v>12</v>
      </c>
      <c r="H732" s="10" t="s">
        <v>433</v>
      </c>
      <c r="I732" s="10" t="s">
        <v>433</v>
      </c>
      <c r="J732" s="10" t="s">
        <v>433</v>
      </c>
      <c r="K732" s="11" t="str">
        <f t="shared" si="146"/>
        <v/>
      </c>
      <c r="L732" s="11" t="str">
        <f t="shared" si="147"/>
        <v/>
      </c>
      <c r="M732" s="12" t="str">
        <f t="shared" si="148"/>
        <v/>
      </c>
      <c r="N732" s="11" t="str">
        <f t="shared" si="149"/>
        <v/>
      </c>
      <c r="O732" s="12" t="str">
        <f t="shared" si="150"/>
        <v/>
      </c>
      <c r="P732" s="12" t="str">
        <f t="shared" si="151"/>
        <v/>
      </c>
    </row>
    <row r="733" spans="1:18" ht="15.75" customHeight="1" x14ac:dyDescent="0.3">
      <c r="A733" s="7" t="s">
        <v>261</v>
      </c>
      <c r="B733" s="7" t="s">
        <v>244</v>
      </c>
      <c r="C733" s="24" t="s">
        <v>58</v>
      </c>
      <c r="D733" s="24" t="s">
        <v>103</v>
      </c>
      <c r="E733" s="8">
        <v>46163</v>
      </c>
      <c r="F733" s="8">
        <v>46174</v>
      </c>
      <c r="G733" s="9">
        <v>12</v>
      </c>
      <c r="H733" s="10">
        <v>129</v>
      </c>
      <c r="I733" s="10">
        <v>24</v>
      </c>
      <c r="J733" s="10">
        <v>19</v>
      </c>
      <c r="K733" s="11">
        <f t="shared" si="146"/>
        <v>10.75</v>
      </c>
      <c r="L733" s="11">
        <f t="shared" si="147"/>
        <v>2</v>
      </c>
      <c r="M733" s="12">
        <f t="shared" si="148"/>
        <v>0.18604651162790697</v>
      </c>
      <c r="N733" s="11">
        <f t="shared" si="149"/>
        <v>1.5833333333333333</v>
      </c>
      <c r="O733" s="12">
        <f t="shared" si="150"/>
        <v>0.79166666666666663</v>
      </c>
      <c r="P733" s="12">
        <f t="shared" si="151"/>
        <v>0.14728682170542637</v>
      </c>
      <c r="Q733" s="13">
        <f t="shared" ref="Q733:Q754" si="154">IFERROR((I733/H733)*K733,"")</f>
        <v>2</v>
      </c>
      <c r="R733" s="13">
        <f t="shared" ref="R733:R754" si="155">IFERROR((J733/H733)*K733,"")</f>
        <v>1.5833333333333335</v>
      </c>
    </row>
    <row r="734" spans="1:18" ht="15.75" customHeight="1" x14ac:dyDescent="0.3">
      <c r="A734" s="7" t="s">
        <v>261</v>
      </c>
      <c r="B734" s="7" t="s">
        <v>105</v>
      </c>
      <c r="C734" s="24" t="s">
        <v>58</v>
      </c>
      <c r="D734" s="24" t="s">
        <v>61</v>
      </c>
      <c r="E734" s="8">
        <v>46163</v>
      </c>
      <c r="F734" s="8">
        <v>46174</v>
      </c>
      <c r="G734" s="9">
        <v>12</v>
      </c>
      <c r="H734" s="10">
        <v>133</v>
      </c>
      <c r="I734" s="10">
        <v>28</v>
      </c>
      <c r="J734" s="10">
        <v>23</v>
      </c>
      <c r="K734" s="11">
        <f t="shared" si="146"/>
        <v>11.083333333333334</v>
      </c>
      <c r="L734" s="11">
        <f t="shared" si="147"/>
        <v>2.3333333333333335</v>
      </c>
      <c r="M734" s="12">
        <f t="shared" si="148"/>
        <v>0.21052631578947367</v>
      </c>
      <c r="N734" s="11">
        <f t="shared" si="149"/>
        <v>1.9166666666666667</v>
      </c>
      <c r="O734" s="12">
        <f t="shared" si="150"/>
        <v>0.8214285714285714</v>
      </c>
      <c r="P734" s="12">
        <f t="shared" si="151"/>
        <v>0.17293233082706766</v>
      </c>
      <c r="Q734" s="13">
        <f t="shared" si="154"/>
        <v>2.3333333333333335</v>
      </c>
      <c r="R734" s="13">
        <f t="shared" si="155"/>
        <v>1.9166666666666667</v>
      </c>
    </row>
    <row r="735" spans="1:18" ht="15.75" customHeight="1" x14ac:dyDescent="0.3">
      <c r="A735" s="7" t="s">
        <v>261</v>
      </c>
      <c r="B735" s="7" t="s">
        <v>209</v>
      </c>
      <c r="C735" s="24" t="s">
        <v>58</v>
      </c>
      <c r="D735" s="24" t="s">
        <v>107</v>
      </c>
      <c r="E735" s="8">
        <v>46163</v>
      </c>
      <c r="F735" s="8">
        <v>46174</v>
      </c>
      <c r="G735" s="9">
        <v>12</v>
      </c>
      <c r="H735" s="10">
        <v>243</v>
      </c>
      <c r="I735" s="10">
        <v>102</v>
      </c>
      <c r="J735" s="10">
        <v>72</v>
      </c>
      <c r="K735" s="11">
        <f t="shared" si="146"/>
        <v>20.25</v>
      </c>
      <c r="L735" s="11">
        <f t="shared" si="147"/>
        <v>8.5</v>
      </c>
      <c r="M735" s="12">
        <f t="shared" si="148"/>
        <v>0.41975308641975306</v>
      </c>
      <c r="N735" s="11">
        <f t="shared" si="149"/>
        <v>6</v>
      </c>
      <c r="O735" s="12">
        <f t="shared" si="150"/>
        <v>0.70588235294117652</v>
      </c>
      <c r="P735" s="12">
        <f t="shared" si="151"/>
        <v>0.29629629629629628</v>
      </c>
      <c r="Q735" s="13">
        <f t="shared" si="154"/>
        <v>8.5</v>
      </c>
      <c r="R735" s="13">
        <f t="shared" si="155"/>
        <v>6</v>
      </c>
    </row>
    <row r="736" spans="1:18" ht="15.75" customHeight="1" x14ac:dyDescent="0.3">
      <c r="A736" s="7" t="s">
        <v>261</v>
      </c>
      <c r="B736" s="7" t="s">
        <v>196</v>
      </c>
      <c r="C736" s="24" t="s">
        <v>58</v>
      </c>
      <c r="D736" s="24" t="s">
        <v>66</v>
      </c>
      <c r="E736" s="8">
        <v>46163</v>
      </c>
      <c r="F736" s="8">
        <v>46174</v>
      </c>
      <c r="G736" s="9">
        <v>12</v>
      </c>
      <c r="H736" s="10">
        <v>209</v>
      </c>
      <c r="I736" s="10">
        <v>54</v>
      </c>
      <c r="J736" s="10">
        <v>40</v>
      </c>
      <c r="K736" s="11">
        <f t="shared" si="146"/>
        <v>17.416666666666668</v>
      </c>
      <c r="L736" s="11">
        <f t="shared" si="147"/>
        <v>4.5</v>
      </c>
      <c r="M736" s="12">
        <f t="shared" si="148"/>
        <v>0.25837320574162681</v>
      </c>
      <c r="N736" s="11">
        <f t="shared" si="149"/>
        <v>3.3333333333333335</v>
      </c>
      <c r="O736" s="12">
        <f t="shared" si="150"/>
        <v>0.7407407407407407</v>
      </c>
      <c r="P736" s="12">
        <f t="shared" si="151"/>
        <v>0.19138755980861244</v>
      </c>
      <c r="Q736" s="13">
        <f t="shared" si="154"/>
        <v>4.5000000000000009</v>
      </c>
      <c r="R736" s="13">
        <f t="shared" si="155"/>
        <v>3.3333333333333335</v>
      </c>
    </row>
    <row r="737" spans="1:18" ht="15.75" customHeight="1" x14ac:dyDescent="0.3">
      <c r="A737" s="7" t="s">
        <v>261</v>
      </c>
      <c r="B737" s="7" t="s">
        <v>197</v>
      </c>
      <c r="C737" s="24" t="s">
        <v>58</v>
      </c>
      <c r="D737" s="24" t="s">
        <v>68</v>
      </c>
      <c r="E737" s="8">
        <v>46163</v>
      </c>
      <c r="F737" s="8">
        <v>46174</v>
      </c>
      <c r="G737" s="9">
        <v>12</v>
      </c>
      <c r="H737" s="10">
        <v>21</v>
      </c>
      <c r="I737" s="10">
        <v>8</v>
      </c>
      <c r="J737" s="10">
        <v>4</v>
      </c>
      <c r="K737" s="11">
        <f t="shared" si="146"/>
        <v>1.75</v>
      </c>
      <c r="L737" s="11">
        <f t="shared" si="147"/>
        <v>0.66666666666666663</v>
      </c>
      <c r="M737" s="12">
        <f t="shared" si="148"/>
        <v>0.38095238095238093</v>
      </c>
      <c r="N737" s="11">
        <f t="shared" si="149"/>
        <v>0.33333333333333331</v>
      </c>
      <c r="O737" s="12">
        <f t="shared" si="150"/>
        <v>0.5</v>
      </c>
      <c r="P737" s="12">
        <f t="shared" si="151"/>
        <v>0.19047619047619047</v>
      </c>
      <c r="Q737" s="13">
        <f t="shared" si="154"/>
        <v>0.66666666666666663</v>
      </c>
      <c r="R737" s="13">
        <f t="shared" si="155"/>
        <v>0.33333333333333331</v>
      </c>
    </row>
    <row r="738" spans="1:18" ht="15.75" customHeight="1" x14ac:dyDescent="0.3">
      <c r="A738" s="7" t="s">
        <v>261</v>
      </c>
      <c r="B738" s="7" t="s">
        <v>71</v>
      </c>
      <c r="C738" s="24" t="s">
        <v>58</v>
      </c>
      <c r="D738" s="24" t="s">
        <v>66</v>
      </c>
      <c r="E738" s="8">
        <v>46163</v>
      </c>
      <c r="F738" s="8">
        <v>46174</v>
      </c>
      <c r="G738" s="9">
        <v>12</v>
      </c>
      <c r="H738" s="10">
        <v>88</v>
      </c>
      <c r="I738" s="10">
        <v>17</v>
      </c>
      <c r="J738" s="10">
        <v>11</v>
      </c>
      <c r="K738" s="11">
        <f t="shared" si="146"/>
        <v>7.333333333333333</v>
      </c>
      <c r="L738" s="11">
        <f t="shared" si="147"/>
        <v>1.4166666666666667</v>
      </c>
      <c r="M738" s="12">
        <f t="shared" si="148"/>
        <v>0.19318181818181818</v>
      </c>
      <c r="N738" s="11">
        <f t="shared" si="149"/>
        <v>0.91666666666666663</v>
      </c>
      <c r="O738" s="12">
        <f t="shared" si="150"/>
        <v>0.6470588235294118</v>
      </c>
      <c r="P738" s="12">
        <f t="shared" si="151"/>
        <v>0.125</v>
      </c>
      <c r="Q738" s="13">
        <f t="shared" si="154"/>
        <v>1.4166666666666665</v>
      </c>
      <c r="R738" s="13">
        <f t="shared" si="155"/>
        <v>0.91666666666666663</v>
      </c>
    </row>
    <row r="739" spans="1:18" ht="15.75" customHeight="1" x14ac:dyDescent="0.3">
      <c r="A739" s="7" t="s">
        <v>261</v>
      </c>
      <c r="B739" s="7" t="s">
        <v>72</v>
      </c>
      <c r="C739" s="24" t="s">
        <v>58</v>
      </c>
      <c r="D739" s="24" t="s">
        <v>68</v>
      </c>
      <c r="E739" s="8">
        <v>46163</v>
      </c>
      <c r="F739" s="8">
        <v>46174</v>
      </c>
      <c r="G739" s="9">
        <v>12</v>
      </c>
      <c r="H739" s="10">
        <v>24</v>
      </c>
      <c r="I739" s="10">
        <v>15</v>
      </c>
      <c r="J739" s="10">
        <v>13</v>
      </c>
      <c r="K739" s="11">
        <f t="shared" si="146"/>
        <v>2</v>
      </c>
      <c r="L739" s="11">
        <f t="shared" si="147"/>
        <v>1.25</v>
      </c>
      <c r="M739" s="12">
        <f t="shared" si="148"/>
        <v>0.625</v>
      </c>
      <c r="N739" s="11">
        <f t="shared" si="149"/>
        <v>1.0833333333333333</v>
      </c>
      <c r="O739" s="12">
        <f t="shared" si="150"/>
        <v>0.8666666666666667</v>
      </c>
      <c r="P739" s="12">
        <f t="shared" si="151"/>
        <v>0.54166666666666663</v>
      </c>
      <c r="Q739" s="13">
        <f t="shared" si="154"/>
        <v>1.25</v>
      </c>
      <c r="R739" s="13">
        <f t="shared" si="155"/>
        <v>1.0833333333333333</v>
      </c>
    </row>
    <row r="740" spans="1:18" ht="15.75" customHeight="1" x14ac:dyDescent="0.3">
      <c r="A740" s="7" t="s">
        <v>261</v>
      </c>
      <c r="B740" s="7" t="s">
        <v>198</v>
      </c>
      <c r="C740" s="24" t="s">
        <v>58</v>
      </c>
      <c r="D740" s="24" t="s">
        <v>66</v>
      </c>
      <c r="E740" s="8">
        <v>46163</v>
      </c>
      <c r="F740" s="8">
        <v>46174</v>
      </c>
      <c r="G740" s="9">
        <v>12</v>
      </c>
      <c r="H740" s="10">
        <v>297</v>
      </c>
      <c r="I740" s="10">
        <v>71</v>
      </c>
      <c r="J740" s="10">
        <v>44</v>
      </c>
      <c r="K740" s="11">
        <f t="shared" si="146"/>
        <v>24.75</v>
      </c>
      <c r="L740" s="11">
        <f t="shared" si="147"/>
        <v>5.916666666666667</v>
      </c>
      <c r="M740" s="12">
        <f t="shared" si="148"/>
        <v>0.23905723905723905</v>
      </c>
      <c r="N740" s="11">
        <f t="shared" si="149"/>
        <v>3.6666666666666665</v>
      </c>
      <c r="O740" s="12">
        <f t="shared" si="150"/>
        <v>0.61971830985915488</v>
      </c>
      <c r="P740" s="12">
        <f t="shared" si="151"/>
        <v>0.14814814814814814</v>
      </c>
      <c r="Q740" s="13">
        <f t="shared" si="154"/>
        <v>5.916666666666667</v>
      </c>
      <c r="R740" s="13">
        <f t="shared" si="155"/>
        <v>3.6666666666666665</v>
      </c>
    </row>
    <row r="741" spans="1:18" ht="15.75" customHeight="1" x14ac:dyDescent="0.3">
      <c r="A741" s="7" t="s">
        <v>261</v>
      </c>
      <c r="B741" s="7" t="s">
        <v>199</v>
      </c>
      <c r="C741" s="24" t="s">
        <v>58</v>
      </c>
      <c r="D741" s="24" t="s">
        <v>68</v>
      </c>
      <c r="E741" s="8">
        <v>46163</v>
      </c>
      <c r="F741" s="8">
        <v>46174</v>
      </c>
      <c r="G741" s="9">
        <v>12</v>
      </c>
      <c r="H741" s="10">
        <v>42</v>
      </c>
      <c r="I741" s="10">
        <v>17</v>
      </c>
      <c r="J741" s="10">
        <v>15</v>
      </c>
      <c r="K741" s="11">
        <f t="shared" si="146"/>
        <v>3.5</v>
      </c>
      <c r="L741" s="11">
        <f t="shared" si="147"/>
        <v>1.4166666666666667</v>
      </c>
      <c r="M741" s="12">
        <f t="shared" si="148"/>
        <v>0.40476190476190477</v>
      </c>
      <c r="N741" s="11">
        <f t="shared" si="149"/>
        <v>1.25</v>
      </c>
      <c r="O741" s="12">
        <f t="shared" si="150"/>
        <v>0.88235294117647056</v>
      </c>
      <c r="P741" s="12">
        <f t="shared" si="151"/>
        <v>0.35714285714285715</v>
      </c>
      <c r="Q741" s="13">
        <f t="shared" si="154"/>
        <v>1.4166666666666667</v>
      </c>
      <c r="R741" s="13">
        <f t="shared" si="155"/>
        <v>1.25</v>
      </c>
    </row>
    <row r="742" spans="1:18" ht="15.75" customHeight="1" x14ac:dyDescent="0.3">
      <c r="A742" s="7" t="s">
        <v>261</v>
      </c>
      <c r="B742" s="7" t="s">
        <v>136</v>
      </c>
      <c r="C742" s="24" t="s">
        <v>58</v>
      </c>
      <c r="D742" s="24" t="s">
        <v>66</v>
      </c>
      <c r="E742" s="8">
        <v>46163</v>
      </c>
      <c r="F742" s="8">
        <v>46174</v>
      </c>
      <c r="G742" s="9">
        <v>12</v>
      </c>
      <c r="H742" s="10">
        <v>41</v>
      </c>
      <c r="I742" s="10">
        <v>12</v>
      </c>
      <c r="J742" s="10">
        <v>9</v>
      </c>
      <c r="K742" s="11">
        <f t="shared" si="146"/>
        <v>3.4166666666666665</v>
      </c>
      <c r="L742" s="11">
        <f t="shared" si="147"/>
        <v>1</v>
      </c>
      <c r="M742" s="12">
        <f t="shared" si="148"/>
        <v>0.29268292682926828</v>
      </c>
      <c r="N742" s="11">
        <f t="shared" si="149"/>
        <v>0.75</v>
      </c>
      <c r="O742" s="12">
        <f t="shared" si="150"/>
        <v>0.75</v>
      </c>
      <c r="P742" s="12">
        <f t="shared" si="151"/>
        <v>0.21951219512195122</v>
      </c>
      <c r="Q742" s="13">
        <f t="shared" si="154"/>
        <v>0.99999999999999989</v>
      </c>
      <c r="R742" s="13">
        <f t="shared" si="155"/>
        <v>0.75</v>
      </c>
    </row>
    <row r="743" spans="1:18" ht="15.75" customHeight="1" x14ac:dyDescent="0.3">
      <c r="A743" s="7" t="s">
        <v>261</v>
      </c>
      <c r="B743" s="7" t="s">
        <v>137</v>
      </c>
      <c r="C743" s="24" t="s">
        <v>58</v>
      </c>
      <c r="D743" s="24" t="s">
        <v>68</v>
      </c>
      <c r="E743" s="8">
        <v>46163</v>
      </c>
      <c r="F743" s="8">
        <v>46174</v>
      </c>
      <c r="G743" s="9">
        <v>12</v>
      </c>
      <c r="H743" s="10">
        <v>11</v>
      </c>
      <c r="I743" s="10">
        <v>8</v>
      </c>
      <c r="J743" s="10">
        <v>4</v>
      </c>
      <c r="K743" s="11">
        <f t="shared" si="146"/>
        <v>0.91666666666666663</v>
      </c>
      <c r="L743" s="11">
        <f t="shared" si="147"/>
        <v>0.66666666666666663</v>
      </c>
      <c r="M743" s="12">
        <f t="shared" si="148"/>
        <v>0.72727272727272729</v>
      </c>
      <c r="N743" s="11">
        <f t="shared" si="149"/>
        <v>0.33333333333333331</v>
      </c>
      <c r="O743" s="12">
        <f t="shared" si="150"/>
        <v>0.5</v>
      </c>
      <c r="P743" s="12">
        <f t="shared" si="151"/>
        <v>0.36363636363636365</v>
      </c>
      <c r="Q743" s="13">
        <f t="shared" si="154"/>
        <v>0.66666666666666663</v>
      </c>
      <c r="R743" s="13">
        <f t="shared" si="155"/>
        <v>0.33333333333333331</v>
      </c>
    </row>
    <row r="744" spans="1:18" ht="15.75" customHeight="1" x14ac:dyDescent="0.3">
      <c r="A744" s="7" t="s">
        <v>261</v>
      </c>
      <c r="B744" s="7" t="s">
        <v>224</v>
      </c>
      <c r="C744" s="24" t="s">
        <v>58</v>
      </c>
      <c r="D744" s="24" t="s">
        <v>66</v>
      </c>
      <c r="E744" s="8">
        <v>46163</v>
      </c>
      <c r="F744" s="8">
        <v>46174</v>
      </c>
      <c r="G744" s="9">
        <v>12</v>
      </c>
      <c r="H744" s="10">
        <v>0</v>
      </c>
      <c r="I744" s="10">
        <v>0</v>
      </c>
      <c r="J744" s="10">
        <v>0</v>
      </c>
      <c r="K744" s="11">
        <f t="shared" si="146"/>
        <v>0</v>
      </c>
      <c r="L744" s="11">
        <f t="shared" si="147"/>
        <v>0</v>
      </c>
      <c r="M744" s="12" t="str">
        <f t="shared" si="148"/>
        <v/>
      </c>
      <c r="N744" s="11">
        <f t="shared" si="149"/>
        <v>0</v>
      </c>
      <c r="O744" s="12" t="str">
        <f t="shared" si="150"/>
        <v/>
      </c>
      <c r="P744" s="12" t="str">
        <f t="shared" si="151"/>
        <v/>
      </c>
      <c r="Q744" s="13" t="str">
        <f t="shared" si="154"/>
        <v/>
      </c>
      <c r="R744" s="13" t="str">
        <f t="shared" si="155"/>
        <v/>
      </c>
    </row>
    <row r="745" spans="1:18" ht="15.75" customHeight="1" x14ac:dyDescent="0.3">
      <c r="A745" s="7" t="s">
        <v>261</v>
      </c>
      <c r="B745" s="7" t="s">
        <v>225</v>
      </c>
      <c r="C745" s="24" t="s">
        <v>58</v>
      </c>
      <c r="D745" s="24" t="s">
        <v>68</v>
      </c>
      <c r="E745" s="8">
        <v>46163</v>
      </c>
      <c r="F745" s="8">
        <v>46174</v>
      </c>
      <c r="G745" s="9">
        <v>12</v>
      </c>
      <c r="H745" s="10">
        <v>2</v>
      </c>
      <c r="I745" s="10">
        <v>1</v>
      </c>
      <c r="J745" s="10">
        <v>0</v>
      </c>
      <c r="K745" s="11">
        <f t="shared" si="146"/>
        <v>0.16666666666666666</v>
      </c>
      <c r="L745" s="11">
        <f t="shared" si="147"/>
        <v>8.3333333333333329E-2</v>
      </c>
      <c r="M745" s="12">
        <f t="shared" si="148"/>
        <v>0.5</v>
      </c>
      <c r="N745" s="11">
        <f t="shared" si="149"/>
        <v>0</v>
      </c>
      <c r="O745" s="12">
        <f t="shared" si="150"/>
        <v>0</v>
      </c>
      <c r="P745" s="12">
        <f t="shared" si="151"/>
        <v>0</v>
      </c>
      <c r="Q745" s="13">
        <f t="shared" si="154"/>
        <v>8.3333333333333329E-2</v>
      </c>
      <c r="R745" s="13">
        <f t="shared" si="155"/>
        <v>0</v>
      </c>
    </row>
    <row r="746" spans="1:18" ht="15.75" customHeight="1" x14ac:dyDescent="0.3">
      <c r="A746" s="7" t="s">
        <v>261</v>
      </c>
      <c r="B746" s="7" t="s">
        <v>260</v>
      </c>
      <c r="C746" s="24" t="s">
        <v>58</v>
      </c>
      <c r="D746" s="24" t="s">
        <v>66</v>
      </c>
      <c r="E746" s="8">
        <v>46163</v>
      </c>
      <c r="F746" s="8">
        <v>46174</v>
      </c>
      <c r="G746" s="9">
        <v>12</v>
      </c>
      <c r="H746" s="10">
        <v>80</v>
      </c>
      <c r="I746" s="10">
        <v>23</v>
      </c>
      <c r="J746" s="10">
        <v>17</v>
      </c>
      <c r="K746" s="11">
        <f t="shared" si="146"/>
        <v>6.666666666666667</v>
      </c>
      <c r="L746" s="11">
        <f t="shared" si="147"/>
        <v>1.9166666666666667</v>
      </c>
      <c r="M746" s="12">
        <f t="shared" si="148"/>
        <v>0.28749999999999998</v>
      </c>
      <c r="N746" s="11">
        <f t="shared" si="149"/>
        <v>1.4166666666666667</v>
      </c>
      <c r="O746" s="12">
        <f t="shared" si="150"/>
        <v>0.73913043478260865</v>
      </c>
      <c r="P746" s="12">
        <f t="shared" si="151"/>
        <v>0.21249999999999999</v>
      </c>
      <c r="Q746" s="13">
        <f t="shared" si="154"/>
        <v>1.9166666666666665</v>
      </c>
      <c r="R746" s="13">
        <f t="shared" si="155"/>
        <v>1.4166666666666667</v>
      </c>
    </row>
    <row r="747" spans="1:18" ht="15.75" customHeight="1" x14ac:dyDescent="0.3">
      <c r="A747" s="7" t="s">
        <v>261</v>
      </c>
      <c r="B747" s="7" t="s">
        <v>114</v>
      </c>
      <c r="C747" s="24" t="s">
        <v>58</v>
      </c>
      <c r="D747" s="24" t="s">
        <v>74</v>
      </c>
      <c r="E747" s="8">
        <v>46163</v>
      </c>
      <c r="F747" s="8">
        <v>46174</v>
      </c>
      <c r="G747" s="9">
        <v>12</v>
      </c>
      <c r="H747" s="10">
        <v>57</v>
      </c>
      <c r="I747" s="10">
        <v>21</v>
      </c>
      <c r="J747" s="10">
        <v>14</v>
      </c>
      <c r="K747" s="11">
        <f t="shared" si="146"/>
        <v>4.75</v>
      </c>
      <c r="L747" s="11">
        <f t="shared" si="147"/>
        <v>1.75</v>
      </c>
      <c r="M747" s="12">
        <f t="shared" si="148"/>
        <v>0.36842105263157893</v>
      </c>
      <c r="N747" s="11">
        <f t="shared" si="149"/>
        <v>1.1666666666666667</v>
      </c>
      <c r="O747" s="12">
        <f t="shared" si="150"/>
        <v>0.66666666666666663</v>
      </c>
      <c r="P747" s="12">
        <f t="shared" si="151"/>
        <v>0.24561403508771928</v>
      </c>
      <c r="Q747" s="13">
        <f t="shared" si="154"/>
        <v>1.75</v>
      </c>
      <c r="R747" s="13">
        <f t="shared" si="155"/>
        <v>1.1666666666666665</v>
      </c>
    </row>
    <row r="748" spans="1:18" ht="15.75" customHeight="1" x14ac:dyDescent="0.3">
      <c r="A748" s="7" t="s">
        <v>261</v>
      </c>
      <c r="B748" s="7" t="s">
        <v>73</v>
      </c>
      <c r="C748" s="24" t="s">
        <v>58</v>
      </c>
      <c r="D748" s="24" t="s">
        <v>74</v>
      </c>
      <c r="E748" s="8">
        <v>46163</v>
      </c>
      <c r="F748" s="8">
        <v>46174</v>
      </c>
      <c r="G748" s="9">
        <v>12</v>
      </c>
      <c r="H748" s="10">
        <v>97</v>
      </c>
      <c r="I748" s="10">
        <v>38</v>
      </c>
      <c r="J748" s="10">
        <v>25</v>
      </c>
      <c r="K748" s="11">
        <f t="shared" si="146"/>
        <v>8.0833333333333339</v>
      </c>
      <c r="L748" s="11">
        <f t="shared" si="147"/>
        <v>3.1666666666666665</v>
      </c>
      <c r="M748" s="12">
        <f t="shared" si="148"/>
        <v>0.39175257731958762</v>
      </c>
      <c r="N748" s="11">
        <f t="shared" si="149"/>
        <v>2.0833333333333335</v>
      </c>
      <c r="O748" s="12">
        <f t="shared" si="150"/>
        <v>0.65789473684210531</v>
      </c>
      <c r="P748" s="12">
        <f t="shared" si="151"/>
        <v>0.25773195876288657</v>
      </c>
      <c r="Q748" s="13">
        <f t="shared" si="154"/>
        <v>3.166666666666667</v>
      </c>
      <c r="R748" s="13">
        <f t="shared" si="155"/>
        <v>2.0833333333333335</v>
      </c>
    </row>
    <row r="749" spans="1:18" ht="15.75" customHeight="1" x14ac:dyDescent="0.3">
      <c r="A749" s="7" t="s">
        <v>261</v>
      </c>
      <c r="B749" s="7" t="s">
        <v>115</v>
      </c>
      <c r="C749" s="24" t="s">
        <v>58</v>
      </c>
      <c r="D749" s="24" t="s">
        <v>74</v>
      </c>
      <c r="E749" s="8">
        <v>46163</v>
      </c>
      <c r="F749" s="8">
        <v>46174</v>
      </c>
      <c r="G749" s="9">
        <v>12</v>
      </c>
      <c r="H749" s="10">
        <v>434</v>
      </c>
      <c r="I749" s="10">
        <v>153</v>
      </c>
      <c r="J749" s="10">
        <v>99</v>
      </c>
      <c r="K749" s="11">
        <f t="shared" si="146"/>
        <v>36.166666666666664</v>
      </c>
      <c r="L749" s="11">
        <f t="shared" si="147"/>
        <v>12.75</v>
      </c>
      <c r="M749" s="12">
        <f t="shared" si="148"/>
        <v>0.35253456221198154</v>
      </c>
      <c r="N749" s="11">
        <f t="shared" si="149"/>
        <v>8.25</v>
      </c>
      <c r="O749" s="12">
        <f t="shared" si="150"/>
        <v>0.6470588235294118</v>
      </c>
      <c r="P749" s="12">
        <f t="shared" si="151"/>
        <v>0.22811059907834103</v>
      </c>
      <c r="Q749" s="13">
        <f t="shared" si="154"/>
        <v>12.749999999999998</v>
      </c>
      <c r="R749" s="13">
        <f t="shared" si="155"/>
        <v>8.25</v>
      </c>
    </row>
    <row r="750" spans="1:18" ht="15.75" customHeight="1" x14ac:dyDescent="0.3">
      <c r="A750" s="7" t="s">
        <v>261</v>
      </c>
      <c r="B750" s="7" t="s">
        <v>75</v>
      </c>
      <c r="C750" s="24" t="s">
        <v>58</v>
      </c>
      <c r="D750" s="24" t="s">
        <v>74</v>
      </c>
      <c r="E750" s="8">
        <v>46163</v>
      </c>
      <c r="F750" s="8">
        <v>46174</v>
      </c>
      <c r="G750" s="9">
        <v>12</v>
      </c>
      <c r="H750" s="10">
        <v>73</v>
      </c>
      <c r="I750" s="10">
        <v>26</v>
      </c>
      <c r="J750" s="10">
        <v>20</v>
      </c>
      <c r="K750" s="11">
        <f t="shared" si="146"/>
        <v>6.083333333333333</v>
      </c>
      <c r="L750" s="11">
        <f t="shared" si="147"/>
        <v>2.1666666666666665</v>
      </c>
      <c r="M750" s="12">
        <f t="shared" si="148"/>
        <v>0.35616438356164382</v>
      </c>
      <c r="N750" s="11">
        <f t="shared" si="149"/>
        <v>1.6666666666666667</v>
      </c>
      <c r="O750" s="12">
        <f t="shared" si="150"/>
        <v>0.76923076923076927</v>
      </c>
      <c r="P750" s="12">
        <f t="shared" si="151"/>
        <v>0.27397260273972601</v>
      </c>
      <c r="Q750" s="13">
        <f t="shared" si="154"/>
        <v>2.1666666666666665</v>
      </c>
      <c r="R750" s="13">
        <f t="shared" si="155"/>
        <v>1.6666666666666665</v>
      </c>
    </row>
    <row r="751" spans="1:18" ht="15.75" customHeight="1" x14ac:dyDescent="0.3">
      <c r="A751" s="7" t="s">
        <v>261</v>
      </c>
      <c r="B751" s="7" t="s">
        <v>132</v>
      </c>
      <c r="C751" s="24" t="s">
        <v>58</v>
      </c>
      <c r="D751" s="24" t="s">
        <v>74</v>
      </c>
      <c r="E751" s="8">
        <v>46163</v>
      </c>
      <c r="F751" s="8">
        <v>46174</v>
      </c>
      <c r="G751" s="9">
        <v>12</v>
      </c>
      <c r="H751" s="10">
        <v>29</v>
      </c>
      <c r="I751" s="10">
        <v>12</v>
      </c>
      <c r="J751" s="10">
        <v>6</v>
      </c>
      <c r="K751" s="11">
        <f t="shared" si="146"/>
        <v>2.4166666666666665</v>
      </c>
      <c r="L751" s="11">
        <f t="shared" si="147"/>
        <v>1</v>
      </c>
      <c r="M751" s="12">
        <f t="shared" si="148"/>
        <v>0.41379310344827586</v>
      </c>
      <c r="N751" s="11">
        <f t="shared" si="149"/>
        <v>0.5</v>
      </c>
      <c r="O751" s="12">
        <f t="shared" si="150"/>
        <v>0.5</v>
      </c>
      <c r="P751" s="12">
        <f t="shared" si="151"/>
        <v>0.20689655172413793</v>
      </c>
      <c r="Q751" s="13">
        <f t="shared" si="154"/>
        <v>0.99999999999999989</v>
      </c>
      <c r="R751" s="13">
        <f t="shared" si="155"/>
        <v>0.49999999999999994</v>
      </c>
    </row>
    <row r="752" spans="1:18" ht="15.75" customHeight="1" x14ac:dyDescent="0.3">
      <c r="A752" s="7" t="s">
        <v>261</v>
      </c>
      <c r="B752" s="7" t="s">
        <v>133</v>
      </c>
      <c r="C752" s="24" t="s">
        <v>58</v>
      </c>
      <c r="D752" s="24" t="s">
        <v>74</v>
      </c>
      <c r="E752" s="8">
        <v>46163</v>
      </c>
      <c r="F752" s="8">
        <v>46174</v>
      </c>
      <c r="G752" s="9">
        <v>12</v>
      </c>
      <c r="H752" s="10">
        <v>129</v>
      </c>
      <c r="I752" s="10">
        <v>56</v>
      </c>
      <c r="J752" s="10">
        <v>41</v>
      </c>
      <c r="K752" s="11">
        <f t="shared" si="146"/>
        <v>10.75</v>
      </c>
      <c r="L752" s="11">
        <f t="shared" si="147"/>
        <v>4.666666666666667</v>
      </c>
      <c r="M752" s="12">
        <f t="shared" si="148"/>
        <v>0.43410852713178294</v>
      </c>
      <c r="N752" s="11">
        <f t="shared" si="149"/>
        <v>3.4166666666666665</v>
      </c>
      <c r="O752" s="12">
        <f t="shared" si="150"/>
        <v>0.7321428571428571</v>
      </c>
      <c r="P752" s="12">
        <f t="shared" si="151"/>
        <v>0.31782945736434109</v>
      </c>
      <c r="Q752" s="13">
        <f t="shared" si="154"/>
        <v>4.666666666666667</v>
      </c>
      <c r="R752" s="13">
        <f t="shared" si="155"/>
        <v>3.416666666666667</v>
      </c>
    </row>
    <row r="753" spans="1:18" ht="15.75" customHeight="1" x14ac:dyDescent="0.3">
      <c r="A753" s="7" t="s">
        <v>261</v>
      </c>
      <c r="B753" s="7" t="s">
        <v>134</v>
      </c>
      <c r="C753" s="24" t="s">
        <v>58</v>
      </c>
      <c r="D753" s="24" t="s">
        <v>66</v>
      </c>
      <c r="E753" s="8">
        <v>46163</v>
      </c>
      <c r="F753" s="8">
        <v>46174</v>
      </c>
      <c r="G753" s="9">
        <v>12</v>
      </c>
      <c r="H753" s="10">
        <v>28</v>
      </c>
      <c r="I753" s="10">
        <v>11</v>
      </c>
      <c r="J753" s="10">
        <v>7</v>
      </c>
      <c r="K753" s="11">
        <f t="shared" si="146"/>
        <v>2.3333333333333335</v>
      </c>
      <c r="L753" s="11">
        <f t="shared" si="147"/>
        <v>0.91666666666666663</v>
      </c>
      <c r="M753" s="12">
        <f t="shared" si="148"/>
        <v>0.39285714285714285</v>
      </c>
      <c r="N753" s="11">
        <f t="shared" si="149"/>
        <v>0.58333333333333337</v>
      </c>
      <c r="O753" s="12">
        <f t="shared" si="150"/>
        <v>0.63636363636363635</v>
      </c>
      <c r="P753" s="12">
        <f t="shared" si="151"/>
        <v>0.25</v>
      </c>
      <c r="Q753" s="13">
        <f t="shared" si="154"/>
        <v>0.91666666666666674</v>
      </c>
      <c r="R753" s="13">
        <f t="shared" si="155"/>
        <v>0.58333333333333337</v>
      </c>
    </row>
    <row r="754" spans="1:18" ht="15.75" customHeight="1" x14ac:dyDescent="0.3">
      <c r="A754" s="7" t="s">
        <v>261</v>
      </c>
      <c r="B754" s="7" t="s">
        <v>135</v>
      </c>
      <c r="C754" s="24" t="s">
        <v>58</v>
      </c>
      <c r="D754" s="24" t="s">
        <v>66</v>
      </c>
      <c r="E754" s="8">
        <v>46163</v>
      </c>
      <c r="F754" s="8">
        <v>46174</v>
      </c>
      <c r="G754" s="9">
        <v>12</v>
      </c>
      <c r="H754" s="10">
        <v>152</v>
      </c>
      <c r="I754" s="10">
        <v>63</v>
      </c>
      <c r="J754" s="10">
        <v>54</v>
      </c>
      <c r="K754" s="11">
        <f t="shared" si="146"/>
        <v>12.666666666666666</v>
      </c>
      <c r="L754" s="11">
        <f t="shared" si="147"/>
        <v>5.25</v>
      </c>
      <c r="M754" s="12">
        <f t="shared" si="148"/>
        <v>0.41447368421052633</v>
      </c>
      <c r="N754" s="11">
        <f t="shared" si="149"/>
        <v>4.5</v>
      </c>
      <c r="O754" s="12">
        <f t="shared" si="150"/>
        <v>0.8571428571428571</v>
      </c>
      <c r="P754" s="12">
        <f t="shared" si="151"/>
        <v>0.35526315789473684</v>
      </c>
      <c r="Q754" s="13">
        <f t="shared" si="154"/>
        <v>5.25</v>
      </c>
      <c r="R754" s="13">
        <f t="shared" si="155"/>
        <v>4.5</v>
      </c>
    </row>
    <row r="755" spans="1:18" ht="15.75" customHeight="1" x14ac:dyDescent="0.3">
      <c r="A755" s="7" t="s">
        <v>262</v>
      </c>
      <c r="B755" s="7" t="s">
        <v>263</v>
      </c>
      <c r="C755" s="24" t="s">
        <v>34</v>
      </c>
      <c r="D755" s="24" t="s">
        <v>35</v>
      </c>
      <c r="E755" s="8">
        <v>46175</v>
      </c>
      <c r="F755" s="8">
        <v>46183</v>
      </c>
      <c r="G755" s="9">
        <f t="shared" ref="G755:G818" si="156">F755-E755+1</f>
        <v>9</v>
      </c>
      <c r="H755" s="10" t="s">
        <v>433</v>
      </c>
      <c r="I755" s="10" t="s">
        <v>433</v>
      </c>
      <c r="J755" s="10" t="s">
        <v>433</v>
      </c>
      <c r="K755" s="11" t="str">
        <f t="shared" si="146"/>
        <v/>
      </c>
      <c r="L755" s="11" t="str">
        <f t="shared" si="147"/>
        <v/>
      </c>
      <c r="M755" s="12" t="str">
        <f t="shared" si="148"/>
        <v/>
      </c>
      <c r="N755" s="11" t="str">
        <f t="shared" si="149"/>
        <v/>
      </c>
      <c r="O755" s="12" t="str">
        <f t="shared" si="150"/>
        <v/>
      </c>
      <c r="P755" s="12" t="str">
        <f t="shared" si="151"/>
        <v/>
      </c>
    </row>
    <row r="756" spans="1:18" ht="15.75" customHeight="1" x14ac:dyDescent="0.3">
      <c r="A756" s="7" t="s">
        <v>262</v>
      </c>
      <c r="B756" s="7" t="s">
        <v>37</v>
      </c>
      <c r="C756" s="24" t="s">
        <v>34</v>
      </c>
      <c r="D756" s="24" t="s">
        <v>35</v>
      </c>
      <c r="E756" s="8">
        <v>46175</v>
      </c>
      <c r="F756" s="8">
        <v>46183</v>
      </c>
      <c r="G756" s="9">
        <f t="shared" si="156"/>
        <v>9</v>
      </c>
      <c r="H756" s="10">
        <v>24</v>
      </c>
      <c r="I756" s="10">
        <v>5</v>
      </c>
      <c r="J756" s="10">
        <v>3</v>
      </c>
      <c r="K756" s="11">
        <f t="shared" si="146"/>
        <v>2.6666666666666665</v>
      </c>
      <c r="L756" s="11">
        <f t="shared" si="147"/>
        <v>0.55555555555555558</v>
      </c>
      <c r="M756" s="12">
        <f t="shared" si="148"/>
        <v>0.20833333333333334</v>
      </c>
      <c r="N756" s="11">
        <f t="shared" si="149"/>
        <v>0.33333333333333331</v>
      </c>
      <c r="O756" s="12">
        <f t="shared" si="150"/>
        <v>0.6</v>
      </c>
      <c r="P756" s="12">
        <f t="shared" si="151"/>
        <v>0.125</v>
      </c>
      <c r="Q756" s="13">
        <f t="shared" ref="Q756:Q772" si="157">IFERROR((I756/H756)*K756,"")</f>
        <v>0.55555555555555558</v>
      </c>
      <c r="R756" s="13">
        <f t="shared" ref="R756:R772" si="158">IFERROR((J756/H756)*K756,"")</f>
        <v>0.33333333333333331</v>
      </c>
    </row>
    <row r="757" spans="1:18" ht="15.75" customHeight="1" x14ac:dyDescent="0.3">
      <c r="A757" s="7" t="s">
        <v>262</v>
      </c>
      <c r="B757" s="7" t="s">
        <v>207</v>
      </c>
      <c r="C757" s="24" t="s">
        <v>34</v>
      </c>
      <c r="D757" s="24" t="s">
        <v>35</v>
      </c>
      <c r="E757" s="8">
        <v>46175</v>
      </c>
      <c r="F757" s="8">
        <v>46183</v>
      </c>
      <c r="G757" s="9">
        <f t="shared" si="156"/>
        <v>9</v>
      </c>
      <c r="H757" s="10">
        <v>51</v>
      </c>
      <c r="I757" s="10">
        <v>6</v>
      </c>
      <c r="J757" s="10">
        <v>5</v>
      </c>
      <c r="K757" s="11">
        <f t="shared" si="146"/>
        <v>5.666666666666667</v>
      </c>
      <c r="L757" s="11">
        <f t="shared" si="147"/>
        <v>0.66666666666666663</v>
      </c>
      <c r="M757" s="12">
        <f t="shared" si="148"/>
        <v>0.11764705882352941</v>
      </c>
      <c r="N757" s="11">
        <f t="shared" si="149"/>
        <v>0.55555555555555558</v>
      </c>
      <c r="O757" s="12">
        <f t="shared" si="150"/>
        <v>0.83333333333333337</v>
      </c>
      <c r="P757" s="12">
        <f t="shared" si="151"/>
        <v>9.8039215686274508E-2</v>
      </c>
      <c r="Q757" s="13">
        <f t="shared" si="157"/>
        <v>0.66666666666666674</v>
      </c>
      <c r="R757" s="13">
        <f t="shared" si="158"/>
        <v>0.55555555555555558</v>
      </c>
    </row>
    <row r="758" spans="1:18" ht="15.75" customHeight="1" x14ac:dyDescent="0.3">
      <c r="A758" s="7" t="s">
        <v>262</v>
      </c>
      <c r="B758" s="7" t="s">
        <v>264</v>
      </c>
      <c r="C758" s="24" t="s">
        <v>34</v>
      </c>
      <c r="D758" s="24" t="s">
        <v>91</v>
      </c>
      <c r="E758" s="8">
        <v>46175</v>
      </c>
      <c r="F758" s="8">
        <v>46183</v>
      </c>
      <c r="G758" s="9">
        <f t="shared" si="156"/>
        <v>9</v>
      </c>
      <c r="H758" s="10">
        <v>80</v>
      </c>
      <c r="I758" s="10">
        <v>20</v>
      </c>
      <c r="J758" s="10">
        <v>14</v>
      </c>
      <c r="K758" s="11">
        <f t="shared" si="146"/>
        <v>8.8888888888888893</v>
      </c>
      <c r="L758" s="11">
        <f t="shared" si="147"/>
        <v>2.2222222222222223</v>
      </c>
      <c r="M758" s="12">
        <f t="shared" si="148"/>
        <v>0.25</v>
      </c>
      <c r="N758" s="11">
        <f t="shared" si="149"/>
        <v>1.5555555555555556</v>
      </c>
      <c r="O758" s="12">
        <f t="shared" si="150"/>
        <v>0.7</v>
      </c>
      <c r="P758" s="12">
        <f t="shared" si="151"/>
        <v>0.17499999999999999</v>
      </c>
      <c r="Q758" s="13">
        <f t="shared" si="157"/>
        <v>2.2222222222222223</v>
      </c>
      <c r="R758" s="13">
        <f t="shared" si="158"/>
        <v>1.5555555555555556</v>
      </c>
    </row>
    <row r="759" spans="1:18" ht="15.75" customHeight="1" x14ac:dyDescent="0.3">
      <c r="A759" s="7" t="s">
        <v>262</v>
      </c>
      <c r="B759" s="7" t="s">
        <v>226</v>
      </c>
      <c r="C759" s="24" t="s">
        <v>34</v>
      </c>
      <c r="D759" s="24" t="s">
        <v>91</v>
      </c>
      <c r="E759" s="8">
        <v>46175</v>
      </c>
      <c r="F759" s="8">
        <v>46183</v>
      </c>
      <c r="G759" s="9">
        <f t="shared" si="156"/>
        <v>9</v>
      </c>
      <c r="H759" s="10">
        <v>20</v>
      </c>
      <c r="I759" s="10">
        <v>6</v>
      </c>
      <c r="J759" s="10">
        <v>2</v>
      </c>
      <c r="K759" s="11">
        <f t="shared" si="146"/>
        <v>2.2222222222222223</v>
      </c>
      <c r="L759" s="11">
        <f t="shared" si="147"/>
        <v>0.66666666666666663</v>
      </c>
      <c r="M759" s="12">
        <f t="shared" si="148"/>
        <v>0.3</v>
      </c>
      <c r="N759" s="11">
        <f t="shared" si="149"/>
        <v>0.22222222222222221</v>
      </c>
      <c r="O759" s="12">
        <f t="shared" si="150"/>
        <v>0.33333333333333331</v>
      </c>
      <c r="P759" s="12">
        <f t="shared" si="151"/>
        <v>0.1</v>
      </c>
      <c r="Q759" s="13">
        <f t="shared" si="157"/>
        <v>0.66666666666666663</v>
      </c>
      <c r="R759" s="13">
        <f t="shared" si="158"/>
        <v>0.22222222222222224</v>
      </c>
    </row>
    <row r="760" spans="1:18" ht="15.75" customHeight="1" x14ac:dyDescent="0.3">
      <c r="A760" s="7" t="s">
        <v>262</v>
      </c>
      <c r="B760" s="7" t="s">
        <v>38</v>
      </c>
      <c r="C760" s="24" t="s">
        <v>34</v>
      </c>
      <c r="D760" s="24" t="s">
        <v>39</v>
      </c>
      <c r="E760" s="8">
        <v>46175</v>
      </c>
      <c r="F760" s="8">
        <v>46183</v>
      </c>
      <c r="G760" s="9">
        <f t="shared" si="156"/>
        <v>9</v>
      </c>
      <c r="H760" s="10">
        <v>233</v>
      </c>
      <c r="I760" s="10">
        <v>24</v>
      </c>
      <c r="J760" s="10">
        <v>15</v>
      </c>
      <c r="K760" s="11">
        <f t="shared" ref="K760:K823" si="159">IFERROR(H760/G760,"")</f>
        <v>25.888888888888889</v>
      </c>
      <c r="L760" s="11">
        <f t="shared" ref="L760:L823" si="160">IFERROR(I760/G760,"")</f>
        <v>2.6666666666666665</v>
      </c>
      <c r="M760" s="12">
        <f t="shared" ref="M760:M823" si="161">IFERROR(I760/H760,"")</f>
        <v>0.10300429184549356</v>
      </c>
      <c r="N760" s="11">
        <f t="shared" ref="N760:N823" si="162">IFERROR(J760/G760,"")</f>
        <v>1.6666666666666667</v>
      </c>
      <c r="O760" s="12">
        <f t="shared" ref="O760:O823" si="163">IFERROR(J760/I760,"")</f>
        <v>0.625</v>
      </c>
      <c r="P760" s="12">
        <f t="shared" ref="P760:P823" si="164">IFERROR(J760/H760,"")</f>
        <v>6.4377682403433473E-2</v>
      </c>
      <c r="Q760" s="13">
        <f t="shared" si="157"/>
        <v>2.6666666666666665</v>
      </c>
      <c r="R760" s="13">
        <f t="shared" si="158"/>
        <v>1.6666666666666665</v>
      </c>
    </row>
    <row r="761" spans="1:18" ht="15.75" customHeight="1" x14ac:dyDescent="0.3">
      <c r="A761" s="7" t="s">
        <v>262</v>
      </c>
      <c r="B761" s="7" t="s">
        <v>40</v>
      </c>
      <c r="C761" s="24" t="s">
        <v>34</v>
      </c>
      <c r="D761" s="24" t="s">
        <v>39</v>
      </c>
      <c r="E761" s="8">
        <v>46175</v>
      </c>
      <c r="F761" s="8">
        <v>46183</v>
      </c>
      <c r="G761" s="9">
        <f t="shared" si="156"/>
        <v>9</v>
      </c>
      <c r="H761" s="10">
        <v>5</v>
      </c>
      <c r="I761" s="10">
        <v>0</v>
      </c>
      <c r="J761" s="10">
        <v>0</v>
      </c>
      <c r="K761" s="11">
        <f t="shared" si="159"/>
        <v>0.55555555555555558</v>
      </c>
      <c r="L761" s="11">
        <f t="shared" si="160"/>
        <v>0</v>
      </c>
      <c r="M761" s="12">
        <f t="shared" si="161"/>
        <v>0</v>
      </c>
      <c r="N761" s="11">
        <f t="shared" si="162"/>
        <v>0</v>
      </c>
      <c r="O761" s="12" t="str">
        <f t="shared" si="163"/>
        <v/>
      </c>
      <c r="P761" s="12">
        <f t="shared" si="164"/>
        <v>0</v>
      </c>
      <c r="Q761" s="13">
        <f t="shared" si="157"/>
        <v>0</v>
      </c>
      <c r="R761" s="13">
        <f t="shared" si="158"/>
        <v>0</v>
      </c>
    </row>
    <row r="762" spans="1:18" ht="15.75" customHeight="1" x14ac:dyDescent="0.3">
      <c r="A762" s="7" t="s">
        <v>262</v>
      </c>
      <c r="B762" s="7" t="s">
        <v>219</v>
      </c>
      <c r="C762" s="24" t="s">
        <v>34</v>
      </c>
      <c r="D762" s="24" t="s">
        <v>445</v>
      </c>
      <c r="E762" s="8">
        <v>46175</v>
      </c>
      <c r="F762" s="8">
        <v>46183</v>
      </c>
      <c r="G762" s="9">
        <f t="shared" si="156"/>
        <v>9</v>
      </c>
      <c r="H762" s="10">
        <v>150</v>
      </c>
      <c r="I762" s="10">
        <v>24</v>
      </c>
      <c r="J762" s="10">
        <v>12</v>
      </c>
      <c r="K762" s="11">
        <f t="shared" si="159"/>
        <v>16.666666666666668</v>
      </c>
      <c r="L762" s="11">
        <f t="shared" si="160"/>
        <v>2.6666666666666665</v>
      </c>
      <c r="M762" s="12">
        <f t="shared" si="161"/>
        <v>0.16</v>
      </c>
      <c r="N762" s="11">
        <f t="shared" si="162"/>
        <v>1.3333333333333333</v>
      </c>
      <c r="O762" s="12">
        <f t="shared" si="163"/>
        <v>0.5</v>
      </c>
      <c r="P762" s="12">
        <f t="shared" si="164"/>
        <v>0.08</v>
      </c>
      <c r="Q762" s="13">
        <f t="shared" si="157"/>
        <v>2.666666666666667</v>
      </c>
      <c r="R762" s="13">
        <f t="shared" si="158"/>
        <v>1.3333333333333335</v>
      </c>
    </row>
    <row r="763" spans="1:18" ht="15.75" customHeight="1" x14ac:dyDescent="0.3">
      <c r="A763" s="7" t="s">
        <v>262</v>
      </c>
      <c r="B763" s="7" t="s">
        <v>265</v>
      </c>
      <c r="C763" s="24" t="s">
        <v>34</v>
      </c>
      <c r="D763" s="24" t="s">
        <v>44</v>
      </c>
      <c r="E763" s="8">
        <v>46175</v>
      </c>
      <c r="F763" s="8">
        <v>46183</v>
      </c>
      <c r="G763" s="9">
        <f t="shared" si="156"/>
        <v>9</v>
      </c>
      <c r="H763" s="10">
        <v>99</v>
      </c>
      <c r="I763" s="10">
        <v>17</v>
      </c>
      <c r="J763" s="10">
        <v>13</v>
      </c>
      <c r="K763" s="11">
        <f t="shared" si="159"/>
        <v>11</v>
      </c>
      <c r="L763" s="11">
        <f t="shared" si="160"/>
        <v>1.8888888888888888</v>
      </c>
      <c r="M763" s="12">
        <f t="shared" si="161"/>
        <v>0.17171717171717171</v>
      </c>
      <c r="N763" s="11">
        <f t="shared" si="162"/>
        <v>1.4444444444444444</v>
      </c>
      <c r="O763" s="12">
        <f t="shared" si="163"/>
        <v>0.76470588235294112</v>
      </c>
      <c r="P763" s="12">
        <f t="shared" si="164"/>
        <v>0.13131313131313133</v>
      </c>
      <c r="Q763" s="13">
        <f t="shared" si="157"/>
        <v>1.8888888888888888</v>
      </c>
      <c r="R763" s="13">
        <f t="shared" si="158"/>
        <v>1.4444444444444446</v>
      </c>
    </row>
    <row r="764" spans="1:18" ht="15.75" customHeight="1" x14ac:dyDescent="0.3">
      <c r="A764" s="7" t="s">
        <v>262</v>
      </c>
      <c r="B764" s="7" t="s">
        <v>93</v>
      </c>
      <c r="C764" s="24" t="s">
        <v>47</v>
      </c>
      <c r="D764" s="24" t="s">
        <v>48</v>
      </c>
      <c r="E764" s="8">
        <v>46175</v>
      </c>
      <c r="F764" s="8">
        <v>46183</v>
      </c>
      <c r="G764" s="9">
        <f t="shared" si="156"/>
        <v>9</v>
      </c>
      <c r="H764" s="10">
        <v>120</v>
      </c>
      <c r="I764" s="10">
        <v>41</v>
      </c>
      <c r="J764" s="10">
        <v>27</v>
      </c>
      <c r="K764" s="11">
        <f t="shared" si="159"/>
        <v>13.333333333333334</v>
      </c>
      <c r="L764" s="11">
        <f t="shared" si="160"/>
        <v>4.5555555555555554</v>
      </c>
      <c r="M764" s="12">
        <f t="shared" si="161"/>
        <v>0.34166666666666667</v>
      </c>
      <c r="N764" s="11">
        <f t="shared" si="162"/>
        <v>3</v>
      </c>
      <c r="O764" s="12">
        <f t="shared" si="163"/>
        <v>0.65853658536585369</v>
      </c>
      <c r="P764" s="12">
        <f t="shared" si="164"/>
        <v>0.22500000000000001</v>
      </c>
      <c r="Q764" s="13">
        <f t="shared" si="157"/>
        <v>4.5555555555555562</v>
      </c>
      <c r="R764" s="13">
        <f t="shared" si="158"/>
        <v>3</v>
      </c>
    </row>
    <row r="765" spans="1:18" ht="15.75" customHeight="1" x14ac:dyDescent="0.3">
      <c r="A765" s="7" t="s">
        <v>262</v>
      </c>
      <c r="B765" s="7" t="s">
        <v>94</v>
      </c>
      <c r="C765" s="24" t="s">
        <v>47</v>
      </c>
      <c r="D765" s="24" t="s">
        <v>48</v>
      </c>
      <c r="E765" s="8">
        <v>46175</v>
      </c>
      <c r="F765" s="8">
        <v>46183</v>
      </c>
      <c r="G765" s="9">
        <f t="shared" si="156"/>
        <v>9</v>
      </c>
      <c r="H765" s="10">
        <v>11</v>
      </c>
      <c r="I765" s="10">
        <v>4</v>
      </c>
      <c r="J765" s="10">
        <v>3</v>
      </c>
      <c r="K765" s="11">
        <f t="shared" si="159"/>
        <v>1.2222222222222223</v>
      </c>
      <c r="L765" s="11">
        <f t="shared" si="160"/>
        <v>0.44444444444444442</v>
      </c>
      <c r="M765" s="12">
        <f t="shared" si="161"/>
        <v>0.36363636363636365</v>
      </c>
      <c r="N765" s="11">
        <f t="shared" si="162"/>
        <v>0.33333333333333331</v>
      </c>
      <c r="O765" s="12">
        <f t="shared" si="163"/>
        <v>0.75</v>
      </c>
      <c r="P765" s="12">
        <f t="shared" si="164"/>
        <v>0.27272727272727271</v>
      </c>
      <c r="Q765" s="13">
        <f t="shared" si="157"/>
        <v>0.44444444444444448</v>
      </c>
      <c r="R765" s="13">
        <f t="shared" si="158"/>
        <v>0.33333333333333331</v>
      </c>
    </row>
    <row r="766" spans="1:18" ht="15.75" customHeight="1" x14ac:dyDescent="0.3">
      <c r="A766" s="7" t="s">
        <v>262</v>
      </c>
      <c r="B766" s="7" t="s">
        <v>119</v>
      </c>
      <c r="C766" s="24" t="s">
        <v>47</v>
      </c>
      <c r="D766" s="24" t="s">
        <v>48</v>
      </c>
      <c r="E766" s="8">
        <v>46175</v>
      </c>
      <c r="F766" s="8">
        <v>46183</v>
      </c>
      <c r="G766" s="9">
        <f t="shared" si="156"/>
        <v>9</v>
      </c>
      <c r="H766" s="10">
        <v>106</v>
      </c>
      <c r="I766" s="10">
        <v>35</v>
      </c>
      <c r="J766" s="10">
        <v>20</v>
      </c>
      <c r="K766" s="11">
        <f t="shared" si="159"/>
        <v>11.777777777777779</v>
      </c>
      <c r="L766" s="11">
        <f t="shared" si="160"/>
        <v>3.8888888888888888</v>
      </c>
      <c r="M766" s="12">
        <f t="shared" si="161"/>
        <v>0.330188679245283</v>
      </c>
      <c r="N766" s="11">
        <f t="shared" si="162"/>
        <v>2.2222222222222223</v>
      </c>
      <c r="O766" s="12">
        <f t="shared" si="163"/>
        <v>0.5714285714285714</v>
      </c>
      <c r="P766" s="12">
        <f t="shared" si="164"/>
        <v>0.18867924528301888</v>
      </c>
      <c r="Q766" s="13">
        <f t="shared" si="157"/>
        <v>3.8888888888888888</v>
      </c>
      <c r="R766" s="13">
        <f t="shared" si="158"/>
        <v>2.2222222222222223</v>
      </c>
    </row>
    <row r="767" spans="1:18" ht="15.75" customHeight="1" x14ac:dyDescent="0.3">
      <c r="A767" s="7" t="s">
        <v>262</v>
      </c>
      <c r="B767" s="7" t="s">
        <v>120</v>
      </c>
      <c r="C767" s="24" t="s">
        <v>47</v>
      </c>
      <c r="D767" s="24" t="s">
        <v>48</v>
      </c>
      <c r="E767" s="8">
        <v>46175</v>
      </c>
      <c r="F767" s="8">
        <v>46183</v>
      </c>
      <c r="G767" s="9">
        <f t="shared" si="156"/>
        <v>9</v>
      </c>
      <c r="H767" s="10">
        <v>13</v>
      </c>
      <c r="I767" s="10">
        <v>5</v>
      </c>
      <c r="J767" s="10">
        <v>2</v>
      </c>
      <c r="K767" s="11">
        <f t="shared" si="159"/>
        <v>1.4444444444444444</v>
      </c>
      <c r="L767" s="11">
        <f t="shared" si="160"/>
        <v>0.55555555555555558</v>
      </c>
      <c r="M767" s="12">
        <f t="shared" si="161"/>
        <v>0.38461538461538464</v>
      </c>
      <c r="N767" s="11">
        <f t="shared" si="162"/>
        <v>0.22222222222222221</v>
      </c>
      <c r="O767" s="12">
        <f t="shared" si="163"/>
        <v>0.4</v>
      </c>
      <c r="P767" s="12">
        <f t="shared" si="164"/>
        <v>0.15384615384615385</v>
      </c>
      <c r="Q767" s="13">
        <f t="shared" si="157"/>
        <v>0.55555555555555558</v>
      </c>
      <c r="R767" s="13">
        <f t="shared" si="158"/>
        <v>0.22222222222222224</v>
      </c>
    </row>
    <row r="768" spans="1:18" ht="15.75" customHeight="1" x14ac:dyDescent="0.3">
      <c r="A768" s="7" t="s">
        <v>262</v>
      </c>
      <c r="B768" s="7" t="s">
        <v>214</v>
      </c>
      <c r="C768" s="24" t="s">
        <v>47</v>
      </c>
      <c r="D768" s="24" t="s">
        <v>53</v>
      </c>
      <c r="E768" s="8">
        <v>46175</v>
      </c>
      <c r="F768" s="8">
        <v>46183</v>
      </c>
      <c r="G768" s="9">
        <f t="shared" si="156"/>
        <v>9</v>
      </c>
      <c r="H768" s="10">
        <v>30</v>
      </c>
      <c r="I768" s="10">
        <v>7</v>
      </c>
      <c r="J768" s="10">
        <v>5</v>
      </c>
      <c r="K768" s="11">
        <f t="shared" si="159"/>
        <v>3.3333333333333335</v>
      </c>
      <c r="L768" s="11">
        <f t="shared" si="160"/>
        <v>0.77777777777777779</v>
      </c>
      <c r="M768" s="12">
        <f t="shared" si="161"/>
        <v>0.23333333333333334</v>
      </c>
      <c r="N768" s="11">
        <f t="shared" si="162"/>
        <v>0.55555555555555558</v>
      </c>
      <c r="O768" s="12">
        <f t="shared" si="163"/>
        <v>0.7142857142857143</v>
      </c>
      <c r="P768" s="12">
        <f t="shared" si="164"/>
        <v>0.16666666666666666</v>
      </c>
      <c r="Q768" s="13">
        <f t="shared" si="157"/>
        <v>0.77777777777777779</v>
      </c>
      <c r="R768" s="13">
        <f t="shared" si="158"/>
        <v>0.55555555555555558</v>
      </c>
    </row>
    <row r="769" spans="1:18" ht="15.75" customHeight="1" x14ac:dyDescent="0.3">
      <c r="A769" s="7" t="s">
        <v>262</v>
      </c>
      <c r="B769" s="7" t="s">
        <v>249</v>
      </c>
      <c r="C769" s="24" t="s">
        <v>47</v>
      </c>
      <c r="D769" s="24" t="s">
        <v>48</v>
      </c>
      <c r="E769" s="8">
        <v>46175</v>
      </c>
      <c r="F769" s="8">
        <v>46183</v>
      </c>
      <c r="G769" s="9">
        <f t="shared" si="156"/>
        <v>9</v>
      </c>
      <c r="H769" s="10">
        <v>289</v>
      </c>
      <c r="I769" s="10">
        <v>100</v>
      </c>
      <c r="J769" s="10">
        <v>55</v>
      </c>
      <c r="K769" s="11">
        <f t="shared" si="159"/>
        <v>32.111111111111114</v>
      </c>
      <c r="L769" s="11">
        <f t="shared" si="160"/>
        <v>11.111111111111111</v>
      </c>
      <c r="M769" s="12">
        <f t="shared" si="161"/>
        <v>0.34602076124567471</v>
      </c>
      <c r="N769" s="11">
        <f t="shared" si="162"/>
        <v>6.1111111111111107</v>
      </c>
      <c r="O769" s="12">
        <f t="shared" si="163"/>
        <v>0.55000000000000004</v>
      </c>
      <c r="P769" s="12">
        <f t="shared" si="164"/>
        <v>0.19031141868512111</v>
      </c>
      <c r="Q769" s="13">
        <f t="shared" si="157"/>
        <v>11.111111111111111</v>
      </c>
      <c r="R769" s="13">
        <f t="shared" si="158"/>
        <v>6.1111111111111116</v>
      </c>
    </row>
    <row r="770" spans="1:18" ht="15.75" customHeight="1" x14ac:dyDescent="0.3">
      <c r="A770" s="7" t="s">
        <v>262</v>
      </c>
      <c r="B770" s="7" t="s">
        <v>97</v>
      </c>
      <c r="C770" s="24" t="s">
        <v>47</v>
      </c>
      <c r="D770" s="24" t="s">
        <v>53</v>
      </c>
      <c r="E770" s="8">
        <v>46175</v>
      </c>
      <c r="F770" s="8">
        <v>46183</v>
      </c>
      <c r="G770" s="9">
        <f t="shared" si="156"/>
        <v>9</v>
      </c>
      <c r="H770" s="10">
        <v>172</v>
      </c>
      <c r="I770" s="10">
        <v>67</v>
      </c>
      <c r="J770" s="10">
        <v>42</v>
      </c>
      <c r="K770" s="11">
        <f t="shared" si="159"/>
        <v>19.111111111111111</v>
      </c>
      <c r="L770" s="11">
        <f t="shared" si="160"/>
        <v>7.4444444444444446</v>
      </c>
      <c r="M770" s="12">
        <f t="shared" si="161"/>
        <v>0.38953488372093026</v>
      </c>
      <c r="N770" s="11">
        <f t="shared" si="162"/>
        <v>4.666666666666667</v>
      </c>
      <c r="O770" s="12">
        <f t="shared" si="163"/>
        <v>0.62686567164179108</v>
      </c>
      <c r="P770" s="12">
        <f t="shared" si="164"/>
        <v>0.2441860465116279</v>
      </c>
      <c r="Q770" s="13">
        <f t="shared" si="157"/>
        <v>7.4444444444444446</v>
      </c>
      <c r="R770" s="13">
        <f t="shared" si="158"/>
        <v>4.6666666666666661</v>
      </c>
    </row>
    <row r="771" spans="1:18" ht="15.75" customHeight="1" x14ac:dyDescent="0.3">
      <c r="A771" s="7" t="s">
        <v>262</v>
      </c>
      <c r="B771" s="7" t="s">
        <v>146</v>
      </c>
      <c r="C771" s="24" t="s">
        <v>443</v>
      </c>
      <c r="D771" s="24" t="s">
        <v>147</v>
      </c>
      <c r="E771" s="8">
        <v>46175</v>
      </c>
      <c r="F771" s="8">
        <v>46183</v>
      </c>
      <c r="G771" s="9">
        <f t="shared" si="156"/>
        <v>9</v>
      </c>
      <c r="H771" s="10">
        <v>569</v>
      </c>
      <c r="I771" s="10">
        <v>113</v>
      </c>
      <c r="J771" s="10">
        <v>84</v>
      </c>
      <c r="K771" s="11">
        <f t="shared" si="159"/>
        <v>63.222222222222221</v>
      </c>
      <c r="L771" s="11">
        <f t="shared" si="160"/>
        <v>12.555555555555555</v>
      </c>
      <c r="M771" s="12">
        <f t="shared" si="161"/>
        <v>0.19859402460456943</v>
      </c>
      <c r="N771" s="11">
        <f t="shared" si="162"/>
        <v>9.3333333333333339</v>
      </c>
      <c r="O771" s="12">
        <f t="shared" si="163"/>
        <v>0.74336283185840712</v>
      </c>
      <c r="P771" s="12">
        <f t="shared" si="164"/>
        <v>0.14762741652021089</v>
      </c>
      <c r="Q771" s="13">
        <f t="shared" si="157"/>
        <v>12.555555555555555</v>
      </c>
      <c r="R771" s="13">
        <f t="shared" si="158"/>
        <v>9.3333333333333321</v>
      </c>
    </row>
    <row r="772" spans="1:18" ht="15.75" customHeight="1" x14ac:dyDescent="0.3">
      <c r="A772" s="7" t="s">
        <v>262</v>
      </c>
      <c r="B772" s="7" t="s">
        <v>176</v>
      </c>
      <c r="C772" s="24" t="s">
        <v>58</v>
      </c>
      <c r="D772" s="24" t="s">
        <v>61</v>
      </c>
      <c r="E772" s="8">
        <v>46175</v>
      </c>
      <c r="F772" s="8">
        <v>46183</v>
      </c>
      <c r="G772" s="9">
        <f t="shared" si="156"/>
        <v>9</v>
      </c>
      <c r="H772" s="10">
        <v>725</v>
      </c>
      <c r="I772" s="10">
        <v>230</v>
      </c>
      <c r="J772" s="10">
        <v>161</v>
      </c>
      <c r="K772" s="11">
        <f t="shared" si="159"/>
        <v>80.555555555555557</v>
      </c>
      <c r="L772" s="11">
        <f t="shared" si="160"/>
        <v>25.555555555555557</v>
      </c>
      <c r="M772" s="12">
        <f t="shared" si="161"/>
        <v>0.31724137931034485</v>
      </c>
      <c r="N772" s="11">
        <f t="shared" si="162"/>
        <v>17.888888888888889</v>
      </c>
      <c r="O772" s="12">
        <f t="shared" si="163"/>
        <v>0.7</v>
      </c>
      <c r="P772" s="12">
        <f t="shared" si="164"/>
        <v>0.22206896551724137</v>
      </c>
      <c r="Q772" s="13">
        <f t="shared" si="157"/>
        <v>25.555555555555557</v>
      </c>
      <c r="R772" s="13">
        <f t="shared" si="158"/>
        <v>17.888888888888889</v>
      </c>
    </row>
    <row r="773" spans="1:18" ht="15.75" customHeight="1" x14ac:dyDescent="0.3">
      <c r="A773" s="7" t="s">
        <v>262</v>
      </c>
      <c r="B773" s="7" t="s">
        <v>177</v>
      </c>
      <c r="C773" s="24" t="s">
        <v>58</v>
      </c>
      <c r="D773" s="24" t="s">
        <v>61</v>
      </c>
      <c r="E773" s="8">
        <v>46175</v>
      </c>
      <c r="F773" s="8">
        <v>46183</v>
      </c>
      <c r="G773" s="9">
        <f t="shared" si="156"/>
        <v>9</v>
      </c>
      <c r="H773" s="10">
        <v>0</v>
      </c>
      <c r="I773" s="10">
        <v>0</v>
      </c>
      <c r="J773" s="10">
        <v>0</v>
      </c>
      <c r="K773" s="11">
        <f t="shared" si="159"/>
        <v>0</v>
      </c>
      <c r="L773" s="11">
        <f t="shared" si="160"/>
        <v>0</v>
      </c>
      <c r="M773" s="12" t="str">
        <f t="shared" si="161"/>
        <v/>
      </c>
      <c r="N773" s="11">
        <f t="shared" si="162"/>
        <v>0</v>
      </c>
      <c r="O773" s="12" t="str">
        <f t="shared" si="163"/>
        <v/>
      </c>
      <c r="P773" s="12" t="str">
        <f t="shared" si="164"/>
        <v/>
      </c>
    </row>
    <row r="774" spans="1:18" ht="15.75" customHeight="1" x14ac:dyDescent="0.3">
      <c r="A774" s="7" t="s">
        <v>262</v>
      </c>
      <c r="B774" s="7" t="s">
        <v>125</v>
      </c>
      <c r="C774" s="24" t="s">
        <v>58</v>
      </c>
      <c r="D774" s="24" t="s">
        <v>103</v>
      </c>
      <c r="E774" s="8">
        <v>46175</v>
      </c>
      <c r="F774" s="8">
        <v>46183</v>
      </c>
      <c r="G774" s="9">
        <f t="shared" si="156"/>
        <v>9</v>
      </c>
      <c r="H774" s="10">
        <v>257</v>
      </c>
      <c r="I774" s="10">
        <v>53</v>
      </c>
      <c r="J774" s="10">
        <v>42</v>
      </c>
      <c r="K774" s="11">
        <f t="shared" si="159"/>
        <v>28.555555555555557</v>
      </c>
      <c r="L774" s="11">
        <f t="shared" si="160"/>
        <v>5.8888888888888893</v>
      </c>
      <c r="M774" s="12">
        <f t="shared" si="161"/>
        <v>0.20622568093385213</v>
      </c>
      <c r="N774" s="11">
        <f t="shared" si="162"/>
        <v>4.666666666666667</v>
      </c>
      <c r="O774" s="12">
        <f t="shared" si="163"/>
        <v>0.79245283018867929</v>
      </c>
      <c r="P774" s="12">
        <f t="shared" si="164"/>
        <v>0.16342412451361868</v>
      </c>
      <c r="Q774" s="13">
        <f t="shared" ref="Q774:Q789" si="165">IFERROR((I774/H774)*K774,"")</f>
        <v>5.8888888888888893</v>
      </c>
      <c r="R774" s="13">
        <f t="shared" ref="R774:R789" si="166">IFERROR((J774/H774)*K774,"")</f>
        <v>4.666666666666667</v>
      </c>
    </row>
    <row r="775" spans="1:18" ht="15.75" customHeight="1" x14ac:dyDescent="0.3">
      <c r="A775" s="7" t="s">
        <v>262</v>
      </c>
      <c r="B775" s="7" t="s">
        <v>244</v>
      </c>
      <c r="C775" s="24" t="s">
        <v>58</v>
      </c>
      <c r="D775" s="24" t="s">
        <v>103</v>
      </c>
      <c r="E775" s="8">
        <v>46175</v>
      </c>
      <c r="F775" s="8">
        <v>46183</v>
      </c>
      <c r="G775" s="9">
        <f t="shared" si="156"/>
        <v>9</v>
      </c>
      <c r="H775" s="10">
        <v>73</v>
      </c>
      <c r="I775" s="10">
        <v>12</v>
      </c>
      <c r="J775" s="10">
        <v>7</v>
      </c>
      <c r="K775" s="11">
        <f t="shared" si="159"/>
        <v>8.1111111111111107</v>
      </c>
      <c r="L775" s="11">
        <f t="shared" si="160"/>
        <v>1.3333333333333333</v>
      </c>
      <c r="M775" s="12">
        <f t="shared" si="161"/>
        <v>0.16438356164383561</v>
      </c>
      <c r="N775" s="11">
        <f t="shared" si="162"/>
        <v>0.77777777777777779</v>
      </c>
      <c r="O775" s="12">
        <f t="shared" si="163"/>
        <v>0.58333333333333337</v>
      </c>
      <c r="P775" s="12">
        <f t="shared" si="164"/>
        <v>9.5890410958904104E-2</v>
      </c>
      <c r="Q775" s="13">
        <f t="shared" si="165"/>
        <v>1.3333333333333333</v>
      </c>
      <c r="R775" s="13">
        <f t="shared" si="166"/>
        <v>0.77777777777777768</v>
      </c>
    </row>
    <row r="776" spans="1:18" ht="15.75" customHeight="1" x14ac:dyDescent="0.3">
      <c r="A776" s="7" t="s">
        <v>262</v>
      </c>
      <c r="B776" s="7" t="s">
        <v>223</v>
      </c>
      <c r="C776" s="24" t="s">
        <v>58</v>
      </c>
      <c r="D776" s="24" t="s">
        <v>64</v>
      </c>
      <c r="E776" s="8">
        <v>46175</v>
      </c>
      <c r="F776" s="8">
        <v>46183</v>
      </c>
      <c r="G776" s="9">
        <f t="shared" si="156"/>
        <v>9</v>
      </c>
      <c r="H776" s="10">
        <v>54</v>
      </c>
      <c r="I776" s="10">
        <v>15</v>
      </c>
      <c r="J776" s="10">
        <v>10</v>
      </c>
      <c r="K776" s="11">
        <f t="shared" si="159"/>
        <v>6</v>
      </c>
      <c r="L776" s="11">
        <f t="shared" si="160"/>
        <v>1.6666666666666667</v>
      </c>
      <c r="M776" s="12">
        <f t="shared" si="161"/>
        <v>0.27777777777777779</v>
      </c>
      <c r="N776" s="11">
        <f t="shared" si="162"/>
        <v>1.1111111111111112</v>
      </c>
      <c r="O776" s="12">
        <f t="shared" si="163"/>
        <v>0.66666666666666663</v>
      </c>
      <c r="P776" s="12">
        <f t="shared" si="164"/>
        <v>0.18518518518518517</v>
      </c>
      <c r="Q776" s="13">
        <f t="shared" si="165"/>
        <v>1.6666666666666667</v>
      </c>
      <c r="R776" s="13">
        <f t="shared" si="166"/>
        <v>1.1111111111111112</v>
      </c>
    </row>
    <row r="777" spans="1:18" ht="15.75" customHeight="1" x14ac:dyDescent="0.3">
      <c r="A777" s="7" t="s">
        <v>262</v>
      </c>
      <c r="B777" s="7" t="s">
        <v>108</v>
      </c>
      <c r="C777" s="24" t="s">
        <v>58</v>
      </c>
      <c r="D777" s="24" t="s">
        <v>66</v>
      </c>
      <c r="E777" s="8">
        <v>46175</v>
      </c>
      <c r="F777" s="8">
        <v>46183</v>
      </c>
      <c r="G777" s="9">
        <f t="shared" si="156"/>
        <v>9</v>
      </c>
      <c r="H777" s="10">
        <v>546</v>
      </c>
      <c r="I777" s="10">
        <v>158</v>
      </c>
      <c r="J777" s="10">
        <v>84</v>
      </c>
      <c r="K777" s="11">
        <f t="shared" si="159"/>
        <v>60.666666666666664</v>
      </c>
      <c r="L777" s="11">
        <f t="shared" si="160"/>
        <v>17.555555555555557</v>
      </c>
      <c r="M777" s="12">
        <f t="shared" si="161"/>
        <v>0.2893772893772894</v>
      </c>
      <c r="N777" s="11">
        <f t="shared" si="162"/>
        <v>9.3333333333333339</v>
      </c>
      <c r="O777" s="12">
        <f t="shared" si="163"/>
        <v>0.53164556962025311</v>
      </c>
      <c r="P777" s="12">
        <f t="shared" si="164"/>
        <v>0.15384615384615385</v>
      </c>
      <c r="Q777" s="13">
        <f t="shared" si="165"/>
        <v>17.555555555555557</v>
      </c>
      <c r="R777" s="13">
        <f t="shared" si="166"/>
        <v>9.3333333333333339</v>
      </c>
    </row>
    <row r="778" spans="1:18" ht="15.75" customHeight="1" x14ac:dyDescent="0.3">
      <c r="A778" s="7" t="s">
        <v>262</v>
      </c>
      <c r="B778" s="7" t="s">
        <v>109</v>
      </c>
      <c r="C778" s="24" t="s">
        <v>58</v>
      </c>
      <c r="D778" s="24" t="s">
        <v>68</v>
      </c>
      <c r="E778" s="8">
        <v>46175</v>
      </c>
      <c r="F778" s="8">
        <v>46183</v>
      </c>
      <c r="G778" s="9">
        <f t="shared" si="156"/>
        <v>9</v>
      </c>
      <c r="H778" s="10">
        <v>62</v>
      </c>
      <c r="I778" s="10">
        <v>24</v>
      </c>
      <c r="J778" s="10">
        <v>15</v>
      </c>
      <c r="K778" s="11">
        <f t="shared" si="159"/>
        <v>6.8888888888888893</v>
      </c>
      <c r="L778" s="11">
        <f t="shared" si="160"/>
        <v>2.6666666666666665</v>
      </c>
      <c r="M778" s="12">
        <f t="shared" si="161"/>
        <v>0.38709677419354838</v>
      </c>
      <c r="N778" s="11">
        <f t="shared" si="162"/>
        <v>1.6666666666666667</v>
      </c>
      <c r="O778" s="12">
        <f t="shared" si="163"/>
        <v>0.625</v>
      </c>
      <c r="P778" s="12">
        <f t="shared" si="164"/>
        <v>0.24193548387096775</v>
      </c>
      <c r="Q778" s="13">
        <f t="shared" si="165"/>
        <v>2.666666666666667</v>
      </c>
      <c r="R778" s="13">
        <f t="shared" si="166"/>
        <v>1.6666666666666667</v>
      </c>
    </row>
    <row r="779" spans="1:18" ht="15.75" customHeight="1" x14ac:dyDescent="0.3">
      <c r="A779" s="7" t="s">
        <v>262</v>
      </c>
      <c r="B779" s="7" t="s">
        <v>200</v>
      </c>
      <c r="C779" s="24" t="s">
        <v>58</v>
      </c>
      <c r="D779" s="24" t="s">
        <v>66</v>
      </c>
      <c r="E779" s="8">
        <v>46175</v>
      </c>
      <c r="F779" s="8">
        <v>46183</v>
      </c>
      <c r="G779" s="9">
        <f t="shared" si="156"/>
        <v>9</v>
      </c>
      <c r="H779" s="10">
        <v>76</v>
      </c>
      <c r="I779" s="10">
        <v>19</v>
      </c>
      <c r="J779" s="10">
        <v>9</v>
      </c>
      <c r="K779" s="11">
        <f t="shared" si="159"/>
        <v>8.4444444444444446</v>
      </c>
      <c r="L779" s="11">
        <f t="shared" si="160"/>
        <v>2.1111111111111112</v>
      </c>
      <c r="M779" s="12">
        <f t="shared" si="161"/>
        <v>0.25</v>
      </c>
      <c r="N779" s="11">
        <f t="shared" si="162"/>
        <v>1</v>
      </c>
      <c r="O779" s="12">
        <f t="shared" si="163"/>
        <v>0.47368421052631576</v>
      </c>
      <c r="P779" s="12">
        <f t="shared" si="164"/>
        <v>0.11842105263157894</v>
      </c>
      <c r="Q779" s="13">
        <f t="shared" si="165"/>
        <v>2.1111111111111112</v>
      </c>
      <c r="R779" s="13">
        <f t="shared" si="166"/>
        <v>1</v>
      </c>
    </row>
    <row r="780" spans="1:18" ht="15.75" customHeight="1" x14ac:dyDescent="0.3">
      <c r="A780" s="7" t="s">
        <v>262</v>
      </c>
      <c r="B780" s="7" t="s">
        <v>201</v>
      </c>
      <c r="C780" s="24" t="s">
        <v>58</v>
      </c>
      <c r="D780" s="24" t="s">
        <v>68</v>
      </c>
      <c r="E780" s="8">
        <v>46175</v>
      </c>
      <c r="F780" s="8">
        <v>46183</v>
      </c>
      <c r="G780" s="9">
        <f t="shared" si="156"/>
        <v>9</v>
      </c>
      <c r="H780" s="10">
        <v>27</v>
      </c>
      <c r="I780" s="10">
        <v>13</v>
      </c>
      <c r="J780" s="10">
        <v>9</v>
      </c>
      <c r="K780" s="11">
        <f t="shared" si="159"/>
        <v>3</v>
      </c>
      <c r="L780" s="11">
        <f t="shared" si="160"/>
        <v>1.4444444444444444</v>
      </c>
      <c r="M780" s="12">
        <f t="shared" si="161"/>
        <v>0.48148148148148145</v>
      </c>
      <c r="N780" s="11">
        <f t="shared" si="162"/>
        <v>1</v>
      </c>
      <c r="O780" s="12">
        <f t="shared" si="163"/>
        <v>0.69230769230769229</v>
      </c>
      <c r="P780" s="12">
        <f t="shared" si="164"/>
        <v>0.33333333333333331</v>
      </c>
      <c r="Q780" s="13">
        <f t="shared" si="165"/>
        <v>1.4444444444444444</v>
      </c>
      <c r="R780" s="13">
        <f t="shared" si="166"/>
        <v>1</v>
      </c>
    </row>
    <row r="781" spans="1:18" ht="15.75" customHeight="1" x14ac:dyDescent="0.3">
      <c r="A781" s="7" t="s">
        <v>262</v>
      </c>
      <c r="B781" s="7" t="s">
        <v>266</v>
      </c>
      <c r="C781" s="24" t="s">
        <v>58</v>
      </c>
      <c r="D781" s="24" t="s">
        <v>66</v>
      </c>
      <c r="E781" s="8">
        <v>46175</v>
      </c>
      <c r="F781" s="8">
        <v>46183</v>
      </c>
      <c r="G781" s="9">
        <f t="shared" si="156"/>
        <v>9</v>
      </c>
      <c r="H781" s="10">
        <v>57</v>
      </c>
      <c r="I781" s="10">
        <v>23</v>
      </c>
      <c r="J781" s="10">
        <v>12</v>
      </c>
      <c r="K781" s="11">
        <f t="shared" si="159"/>
        <v>6.333333333333333</v>
      </c>
      <c r="L781" s="11">
        <f t="shared" si="160"/>
        <v>2.5555555555555554</v>
      </c>
      <c r="M781" s="12">
        <f t="shared" si="161"/>
        <v>0.40350877192982454</v>
      </c>
      <c r="N781" s="11">
        <f t="shared" si="162"/>
        <v>1.3333333333333333</v>
      </c>
      <c r="O781" s="12">
        <f t="shared" si="163"/>
        <v>0.52173913043478259</v>
      </c>
      <c r="P781" s="12">
        <f t="shared" si="164"/>
        <v>0.21052631578947367</v>
      </c>
      <c r="Q781" s="13">
        <f t="shared" si="165"/>
        <v>2.5555555555555554</v>
      </c>
      <c r="R781" s="13">
        <f t="shared" si="166"/>
        <v>1.3333333333333333</v>
      </c>
    </row>
    <row r="782" spans="1:18" ht="15.75" customHeight="1" x14ac:dyDescent="0.3">
      <c r="A782" s="7" t="s">
        <v>262</v>
      </c>
      <c r="B782" s="7" t="s">
        <v>73</v>
      </c>
      <c r="C782" s="24" t="s">
        <v>58</v>
      </c>
      <c r="D782" s="24" t="s">
        <v>74</v>
      </c>
      <c r="E782" s="8">
        <v>46175</v>
      </c>
      <c r="F782" s="8">
        <v>46183</v>
      </c>
      <c r="G782" s="9">
        <f t="shared" si="156"/>
        <v>9</v>
      </c>
      <c r="H782" s="10">
        <v>83</v>
      </c>
      <c r="I782" s="10">
        <v>21</v>
      </c>
      <c r="J782" s="10">
        <v>12</v>
      </c>
      <c r="K782" s="11">
        <f t="shared" si="159"/>
        <v>9.2222222222222214</v>
      </c>
      <c r="L782" s="11">
        <f t="shared" si="160"/>
        <v>2.3333333333333335</v>
      </c>
      <c r="M782" s="12">
        <f t="shared" si="161"/>
        <v>0.25301204819277107</v>
      </c>
      <c r="N782" s="11">
        <f t="shared" si="162"/>
        <v>1.3333333333333333</v>
      </c>
      <c r="O782" s="12">
        <f t="shared" si="163"/>
        <v>0.5714285714285714</v>
      </c>
      <c r="P782" s="12">
        <f t="shared" si="164"/>
        <v>0.14457831325301204</v>
      </c>
      <c r="Q782" s="13">
        <f t="shared" si="165"/>
        <v>2.333333333333333</v>
      </c>
      <c r="R782" s="13">
        <f t="shared" si="166"/>
        <v>1.3333333333333333</v>
      </c>
    </row>
    <row r="783" spans="1:18" ht="15.75" customHeight="1" x14ac:dyDescent="0.3">
      <c r="A783" s="7" t="s">
        <v>262</v>
      </c>
      <c r="B783" s="7" t="s">
        <v>75</v>
      </c>
      <c r="C783" s="24" t="s">
        <v>58</v>
      </c>
      <c r="D783" s="24" t="s">
        <v>74</v>
      </c>
      <c r="E783" s="8">
        <v>46175</v>
      </c>
      <c r="F783" s="8">
        <v>46183</v>
      </c>
      <c r="G783" s="9">
        <f t="shared" si="156"/>
        <v>9</v>
      </c>
      <c r="H783" s="10">
        <v>70</v>
      </c>
      <c r="I783" s="10">
        <v>34</v>
      </c>
      <c r="J783" s="10">
        <v>18</v>
      </c>
      <c r="K783" s="11">
        <f t="shared" si="159"/>
        <v>7.7777777777777777</v>
      </c>
      <c r="L783" s="11">
        <f t="shared" si="160"/>
        <v>3.7777777777777777</v>
      </c>
      <c r="M783" s="12">
        <f t="shared" si="161"/>
        <v>0.48571428571428571</v>
      </c>
      <c r="N783" s="11">
        <f t="shared" si="162"/>
        <v>2</v>
      </c>
      <c r="O783" s="12">
        <f t="shared" si="163"/>
        <v>0.52941176470588236</v>
      </c>
      <c r="P783" s="12">
        <f t="shared" si="164"/>
        <v>0.25714285714285712</v>
      </c>
      <c r="Q783" s="13">
        <f t="shared" si="165"/>
        <v>3.7777777777777777</v>
      </c>
      <c r="R783" s="13">
        <f t="shared" si="166"/>
        <v>1.9999999999999998</v>
      </c>
    </row>
    <row r="784" spans="1:18" ht="15.75" customHeight="1" x14ac:dyDescent="0.3">
      <c r="A784" s="7" t="s">
        <v>262</v>
      </c>
      <c r="B784" s="7" t="s">
        <v>180</v>
      </c>
      <c r="C784" s="24" t="s">
        <v>58</v>
      </c>
      <c r="D784" s="24" t="s">
        <v>59</v>
      </c>
      <c r="E784" s="8">
        <v>46175</v>
      </c>
      <c r="F784" s="8">
        <v>46183</v>
      </c>
      <c r="G784" s="9">
        <f t="shared" si="156"/>
        <v>9</v>
      </c>
      <c r="H784" s="10">
        <v>129</v>
      </c>
      <c r="I784" s="10">
        <v>54</v>
      </c>
      <c r="J784" s="10">
        <v>33</v>
      </c>
      <c r="K784" s="11">
        <f t="shared" si="159"/>
        <v>14.333333333333334</v>
      </c>
      <c r="L784" s="11">
        <f t="shared" si="160"/>
        <v>6</v>
      </c>
      <c r="M784" s="12">
        <f t="shared" si="161"/>
        <v>0.41860465116279072</v>
      </c>
      <c r="N784" s="11">
        <f t="shared" si="162"/>
        <v>3.6666666666666665</v>
      </c>
      <c r="O784" s="12">
        <f t="shared" si="163"/>
        <v>0.61111111111111116</v>
      </c>
      <c r="P784" s="12">
        <f t="shared" si="164"/>
        <v>0.2558139534883721</v>
      </c>
      <c r="Q784" s="13">
        <f t="shared" si="165"/>
        <v>6.0000000000000009</v>
      </c>
      <c r="R784" s="13">
        <f t="shared" si="166"/>
        <v>3.666666666666667</v>
      </c>
    </row>
    <row r="785" spans="1:18" ht="15.75" customHeight="1" x14ac:dyDescent="0.3">
      <c r="A785" s="7" t="s">
        <v>262</v>
      </c>
      <c r="B785" s="7" t="s">
        <v>46</v>
      </c>
      <c r="C785" s="24" t="s">
        <v>47</v>
      </c>
      <c r="D785" s="24" t="s">
        <v>48</v>
      </c>
      <c r="E785" s="8">
        <v>46175</v>
      </c>
      <c r="F785" s="8">
        <v>46183</v>
      </c>
      <c r="G785" s="9">
        <f t="shared" si="156"/>
        <v>9</v>
      </c>
      <c r="H785" s="10">
        <v>670</v>
      </c>
      <c r="I785" s="10">
        <v>226</v>
      </c>
      <c r="J785" s="10">
        <v>164</v>
      </c>
      <c r="K785" s="11">
        <f t="shared" si="159"/>
        <v>74.444444444444443</v>
      </c>
      <c r="L785" s="11">
        <f t="shared" si="160"/>
        <v>25.111111111111111</v>
      </c>
      <c r="M785" s="12">
        <f t="shared" si="161"/>
        <v>0.33731343283582088</v>
      </c>
      <c r="N785" s="11">
        <f t="shared" si="162"/>
        <v>18.222222222222221</v>
      </c>
      <c r="O785" s="12">
        <f t="shared" si="163"/>
        <v>0.72566371681415931</v>
      </c>
      <c r="P785" s="12">
        <f t="shared" si="164"/>
        <v>0.24477611940298508</v>
      </c>
      <c r="Q785" s="13">
        <f t="shared" si="165"/>
        <v>25.111111111111111</v>
      </c>
      <c r="R785" s="13">
        <f t="shared" si="166"/>
        <v>18.222222222222221</v>
      </c>
    </row>
    <row r="786" spans="1:18" ht="15.75" customHeight="1" x14ac:dyDescent="0.3">
      <c r="A786" s="7" t="s">
        <v>262</v>
      </c>
      <c r="B786" s="7" t="s">
        <v>49</v>
      </c>
      <c r="C786" s="24" t="s">
        <v>47</v>
      </c>
      <c r="D786" s="24" t="s">
        <v>48</v>
      </c>
      <c r="E786" s="8">
        <v>46175</v>
      </c>
      <c r="F786" s="8">
        <v>46183</v>
      </c>
      <c r="G786" s="9">
        <f t="shared" si="156"/>
        <v>9</v>
      </c>
      <c r="H786" s="10">
        <v>29</v>
      </c>
      <c r="I786" s="10">
        <v>11</v>
      </c>
      <c r="J786" s="10">
        <v>7</v>
      </c>
      <c r="K786" s="11">
        <f t="shared" si="159"/>
        <v>3.2222222222222223</v>
      </c>
      <c r="L786" s="11">
        <f t="shared" si="160"/>
        <v>1.2222222222222223</v>
      </c>
      <c r="M786" s="12">
        <f t="shared" si="161"/>
        <v>0.37931034482758619</v>
      </c>
      <c r="N786" s="11">
        <f t="shared" si="162"/>
        <v>0.77777777777777779</v>
      </c>
      <c r="O786" s="12">
        <f t="shared" si="163"/>
        <v>0.63636363636363635</v>
      </c>
      <c r="P786" s="12">
        <f t="shared" si="164"/>
        <v>0.2413793103448276</v>
      </c>
      <c r="Q786" s="13">
        <f t="shared" si="165"/>
        <v>1.2222222222222221</v>
      </c>
      <c r="R786" s="13">
        <f t="shared" si="166"/>
        <v>0.77777777777777779</v>
      </c>
    </row>
    <row r="787" spans="1:18" ht="15.75" customHeight="1" x14ac:dyDescent="0.3">
      <c r="A787" s="7" t="s">
        <v>262</v>
      </c>
      <c r="B787" s="7" t="s">
        <v>78</v>
      </c>
      <c r="C787" s="24" t="s">
        <v>34</v>
      </c>
      <c r="D787" s="24" t="s">
        <v>35</v>
      </c>
      <c r="E787" s="8">
        <v>46175</v>
      </c>
      <c r="F787" s="8">
        <v>46183</v>
      </c>
      <c r="G787" s="9">
        <f t="shared" si="156"/>
        <v>9</v>
      </c>
      <c r="H787" s="10">
        <v>804</v>
      </c>
      <c r="I787" s="10">
        <v>200</v>
      </c>
      <c r="J787" s="10">
        <v>118</v>
      </c>
      <c r="K787" s="11">
        <f t="shared" si="159"/>
        <v>89.333333333333329</v>
      </c>
      <c r="L787" s="11">
        <f t="shared" si="160"/>
        <v>22.222222222222221</v>
      </c>
      <c r="M787" s="12">
        <f t="shared" si="161"/>
        <v>0.24875621890547264</v>
      </c>
      <c r="N787" s="11">
        <f t="shared" si="162"/>
        <v>13.111111111111111</v>
      </c>
      <c r="O787" s="12">
        <f t="shared" si="163"/>
        <v>0.59</v>
      </c>
      <c r="P787" s="12">
        <f t="shared" si="164"/>
        <v>0.14676616915422885</v>
      </c>
      <c r="Q787" s="13">
        <f t="shared" si="165"/>
        <v>22.222222222222221</v>
      </c>
      <c r="R787" s="13">
        <f t="shared" si="166"/>
        <v>13.111111111111111</v>
      </c>
    </row>
    <row r="788" spans="1:18" ht="15.75" customHeight="1" x14ac:dyDescent="0.3">
      <c r="A788" s="7" t="s">
        <v>262</v>
      </c>
      <c r="B788" s="7" t="s">
        <v>81</v>
      </c>
      <c r="C788" s="24" t="s">
        <v>34</v>
      </c>
      <c r="D788" s="24" t="s">
        <v>35</v>
      </c>
      <c r="E788" s="8">
        <v>46175</v>
      </c>
      <c r="F788" s="8">
        <v>46183</v>
      </c>
      <c r="G788" s="9">
        <f t="shared" si="156"/>
        <v>9</v>
      </c>
      <c r="H788" s="10">
        <v>133</v>
      </c>
      <c r="I788" s="10">
        <v>28</v>
      </c>
      <c r="J788" s="10">
        <v>19</v>
      </c>
      <c r="K788" s="11">
        <f t="shared" si="159"/>
        <v>14.777777777777779</v>
      </c>
      <c r="L788" s="11">
        <f t="shared" si="160"/>
        <v>3.1111111111111112</v>
      </c>
      <c r="M788" s="12">
        <f t="shared" si="161"/>
        <v>0.21052631578947367</v>
      </c>
      <c r="N788" s="11">
        <f t="shared" si="162"/>
        <v>2.1111111111111112</v>
      </c>
      <c r="O788" s="12">
        <f t="shared" si="163"/>
        <v>0.6785714285714286</v>
      </c>
      <c r="P788" s="12">
        <f t="shared" si="164"/>
        <v>0.14285714285714285</v>
      </c>
      <c r="Q788" s="13">
        <f t="shared" si="165"/>
        <v>3.1111111111111112</v>
      </c>
      <c r="R788" s="13">
        <f t="shared" si="166"/>
        <v>2.1111111111111112</v>
      </c>
    </row>
    <row r="789" spans="1:18" ht="15.75" customHeight="1" x14ac:dyDescent="0.3">
      <c r="A789" s="7" t="s">
        <v>262</v>
      </c>
      <c r="B789" s="7" t="s">
        <v>141</v>
      </c>
      <c r="C789" s="24" t="s">
        <v>34</v>
      </c>
      <c r="D789" s="24" t="s">
        <v>91</v>
      </c>
      <c r="E789" s="8">
        <v>46175</v>
      </c>
      <c r="F789" s="8">
        <v>46183</v>
      </c>
      <c r="G789" s="9">
        <f t="shared" si="156"/>
        <v>9</v>
      </c>
      <c r="H789" s="10">
        <v>116</v>
      </c>
      <c r="I789" s="10">
        <v>43</v>
      </c>
      <c r="J789" s="10">
        <v>30</v>
      </c>
      <c r="K789" s="11">
        <f t="shared" si="159"/>
        <v>12.888888888888889</v>
      </c>
      <c r="L789" s="11">
        <f t="shared" si="160"/>
        <v>4.7777777777777777</v>
      </c>
      <c r="M789" s="12">
        <f t="shared" si="161"/>
        <v>0.37068965517241381</v>
      </c>
      <c r="N789" s="11">
        <f t="shared" si="162"/>
        <v>3.3333333333333335</v>
      </c>
      <c r="O789" s="12">
        <f t="shared" si="163"/>
        <v>0.69767441860465118</v>
      </c>
      <c r="P789" s="12">
        <f t="shared" si="164"/>
        <v>0.25862068965517243</v>
      </c>
      <c r="Q789" s="13">
        <f t="shared" si="165"/>
        <v>4.7777777777777786</v>
      </c>
      <c r="R789" s="13">
        <f t="shared" si="166"/>
        <v>3.3333333333333335</v>
      </c>
    </row>
    <row r="790" spans="1:18" ht="15.75" customHeight="1" x14ac:dyDescent="0.3">
      <c r="A790" s="7" t="s">
        <v>262</v>
      </c>
      <c r="B790" s="7" t="s">
        <v>267</v>
      </c>
      <c r="C790" s="24" t="s">
        <v>34</v>
      </c>
      <c r="D790" s="24" t="s">
        <v>91</v>
      </c>
      <c r="E790" s="8">
        <v>46175</v>
      </c>
      <c r="F790" s="8">
        <v>46183</v>
      </c>
      <c r="G790" s="9">
        <f t="shared" si="156"/>
        <v>9</v>
      </c>
      <c r="H790" s="10" t="s">
        <v>433</v>
      </c>
      <c r="I790" s="10" t="s">
        <v>433</v>
      </c>
      <c r="J790" s="10" t="s">
        <v>433</v>
      </c>
      <c r="K790" s="11" t="str">
        <f t="shared" si="159"/>
        <v/>
      </c>
      <c r="L790" s="11" t="str">
        <f t="shared" si="160"/>
        <v/>
      </c>
      <c r="M790" s="12" t="str">
        <f t="shared" si="161"/>
        <v/>
      </c>
      <c r="N790" s="11" t="str">
        <f t="shared" si="162"/>
        <v/>
      </c>
      <c r="O790" s="12" t="str">
        <f t="shared" si="163"/>
        <v/>
      </c>
      <c r="P790" s="12" t="str">
        <f t="shared" si="164"/>
        <v/>
      </c>
    </row>
    <row r="791" spans="1:18" ht="15.75" customHeight="1" x14ac:dyDescent="0.3">
      <c r="A791" s="7" t="s">
        <v>262</v>
      </c>
      <c r="B791" s="7" t="s">
        <v>142</v>
      </c>
      <c r="C791" s="24" t="s">
        <v>34</v>
      </c>
      <c r="D791" s="24" t="s">
        <v>39</v>
      </c>
      <c r="E791" s="8">
        <v>46175</v>
      </c>
      <c r="F791" s="8">
        <v>46183</v>
      </c>
      <c r="G791" s="9">
        <f t="shared" si="156"/>
        <v>9</v>
      </c>
      <c r="H791" s="10">
        <v>119</v>
      </c>
      <c r="I791" s="10">
        <v>16</v>
      </c>
      <c r="J791" s="10">
        <v>13</v>
      </c>
      <c r="K791" s="11">
        <f t="shared" si="159"/>
        <v>13.222222222222221</v>
      </c>
      <c r="L791" s="11">
        <f t="shared" si="160"/>
        <v>1.7777777777777777</v>
      </c>
      <c r="M791" s="12">
        <f t="shared" si="161"/>
        <v>0.13445378151260504</v>
      </c>
      <c r="N791" s="11">
        <f t="shared" si="162"/>
        <v>1.4444444444444444</v>
      </c>
      <c r="O791" s="12">
        <f t="shared" si="163"/>
        <v>0.8125</v>
      </c>
      <c r="P791" s="12">
        <f t="shared" si="164"/>
        <v>0.1092436974789916</v>
      </c>
      <c r="Q791" s="13">
        <f>IFERROR((I791/H791)*K791,"")</f>
        <v>1.7777777777777777</v>
      </c>
      <c r="R791" s="13">
        <f>IFERROR((J791/H791)*K791,"")</f>
        <v>1.4444444444444444</v>
      </c>
    </row>
    <row r="792" spans="1:18" ht="15.75" customHeight="1" x14ac:dyDescent="0.3">
      <c r="A792" s="7" t="s">
        <v>262</v>
      </c>
      <c r="B792" s="7" t="s">
        <v>43</v>
      </c>
      <c r="C792" s="24" t="s">
        <v>34</v>
      </c>
      <c r="D792" s="24" t="s">
        <v>44</v>
      </c>
      <c r="E792" s="8">
        <v>46175</v>
      </c>
      <c r="F792" s="8">
        <v>46183</v>
      </c>
      <c r="G792" s="9">
        <f t="shared" si="156"/>
        <v>9</v>
      </c>
      <c r="H792" s="10" t="s">
        <v>433</v>
      </c>
      <c r="I792" s="10" t="s">
        <v>433</v>
      </c>
      <c r="J792" s="10" t="s">
        <v>433</v>
      </c>
      <c r="K792" s="11" t="str">
        <f t="shared" si="159"/>
        <v/>
      </c>
      <c r="L792" s="11" t="str">
        <f t="shared" si="160"/>
        <v/>
      </c>
      <c r="M792" s="12" t="str">
        <f t="shared" si="161"/>
        <v/>
      </c>
      <c r="N792" s="11" t="str">
        <f t="shared" si="162"/>
        <v/>
      </c>
      <c r="O792" s="12" t="str">
        <f t="shared" si="163"/>
        <v/>
      </c>
      <c r="P792" s="12" t="str">
        <f t="shared" si="164"/>
        <v/>
      </c>
    </row>
    <row r="793" spans="1:18" ht="15.75" customHeight="1" x14ac:dyDescent="0.3">
      <c r="A793" s="7" t="s">
        <v>262</v>
      </c>
      <c r="B793" s="7" t="s">
        <v>45</v>
      </c>
      <c r="C793" s="24" t="s">
        <v>34</v>
      </c>
      <c r="D793" s="24" t="s">
        <v>44</v>
      </c>
      <c r="E793" s="8">
        <v>46175</v>
      </c>
      <c r="F793" s="8">
        <v>46183</v>
      </c>
      <c r="G793" s="9">
        <f t="shared" si="156"/>
        <v>9</v>
      </c>
      <c r="H793" s="10" t="s">
        <v>433</v>
      </c>
      <c r="I793" s="10" t="s">
        <v>433</v>
      </c>
      <c r="J793" s="10" t="s">
        <v>433</v>
      </c>
      <c r="K793" s="11" t="str">
        <f t="shared" si="159"/>
        <v/>
      </c>
      <c r="L793" s="11" t="str">
        <f t="shared" si="160"/>
        <v/>
      </c>
      <c r="M793" s="12" t="str">
        <f t="shared" si="161"/>
        <v/>
      </c>
      <c r="N793" s="11" t="str">
        <f t="shared" si="162"/>
        <v/>
      </c>
      <c r="O793" s="12" t="str">
        <f t="shared" si="163"/>
        <v/>
      </c>
      <c r="P793" s="12" t="str">
        <f t="shared" si="164"/>
        <v/>
      </c>
    </row>
    <row r="794" spans="1:18" ht="15.75" customHeight="1" x14ac:dyDescent="0.3">
      <c r="A794" s="7" t="s">
        <v>262</v>
      </c>
      <c r="B794" s="7" t="s">
        <v>220</v>
      </c>
      <c r="C794" s="24" t="s">
        <v>34</v>
      </c>
      <c r="D794" s="24" t="s">
        <v>44</v>
      </c>
      <c r="E794" s="8">
        <v>46175</v>
      </c>
      <c r="F794" s="8">
        <v>46183</v>
      </c>
      <c r="G794" s="9">
        <f t="shared" si="156"/>
        <v>9</v>
      </c>
      <c r="H794" s="10">
        <v>1493</v>
      </c>
      <c r="I794" s="10">
        <v>212</v>
      </c>
      <c r="J794" s="10">
        <v>135</v>
      </c>
      <c r="K794" s="11">
        <f t="shared" si="159"/>
        <v>165.88888888888889</v>
      </c>
      <c r="L794" s="11">
        <f t="shared" si="160"/>
        <v>23.555555555555557</v>
      </c>
      <c r="M794" s="12">
        <f t="shared" si="161"/>
        <v>0.14199598124581381</v>
      </c>
      <c r="N794" s="11">
        <f t="shared" si="162"/>
        <v>15</v>
      </c>
      <c r="O794" s="12">
        <f t="shared" si="163"/>
        <v>0.6367924528301887</v>
      </c>
      <c r="P794" s="12">
        <f t="shared" si="164"/>
        <v>9.0421969189551241E-2</v>
      </c>
      <c r="Q794" s="13">
        <f t="shared" ref="Q794:Q806" si="167">IFERROR((I794/H794)*K794,"")</f>
        <v>23.555555555555557</v>
      </c>
      <c r="R794" s="13">
        <f t="shared" ref="R794:R806" si="168">IFERROR((J794/H794)*K794,"")</f>
        <v>15</v>
      </c>
    </row>
    <row r="795" spans="1:18" ht="15.75" customHeight="1" x14ac:dyDescent="0.3">
      <c r="A795" s="7" t="s">
        <v>262</v>
      </c>
      <c r="B795" s="7" t="s">
        <v>117</v>
      </c>
      <c r="C795" s="24" t="s">
        <v>47</v>
      </c>
      <c r="D795" s="24" t="s">
        <v>48</v>
      </c>
      <c r="E795" s="8">
        <v>46175</v>
      </c>
      <c r="F795" s="8">
        <v>46183</v>
      </c>
      <c r="G795" s="9">
        <f t="shared" si="156"/>
        <v>9</v>
      </c>
      <c r="H795" s="10">
        <v>1177</v>
      </c>
      <c r="I795" s="10">
        <v>338</v>
      </c>
      <c r="J795" s="10">
        <v>225</v>
      </c>
      <c r="K795" s="11">
        <f t="shared" si="159"/>
        <v>130.77777777777777</v>
      </c>
      <c r="L795" s="11">
        <f t="shared" si="160"/>
        <v>37.555555555555557</v>
      </c>
      <c r="M795" s="12">
        <f t="shared" si="161"/>
        <v>0.28717077315208156</v>
      </c>
      <c r="N795" s="11">
        <f t="shared" si="162"/>
        <v>25</v>
      </c>
      <c r="O795" s="12">
        <f t="shared" si="163"/>
        <v>0.66568047337278102</v>
      </c>
      <c r="P795" s="12">
        <f t="shared" si="164"/>
        <v>0.19116397621070519</v>
      </c>
      <c r="Q795" s="13">
        <f t="shared" si="167"/>
        <v>37.55555555555555</v>
      </c>
      <c r="R795" s="13">
        <f t="shared" si="168"/>
        <v>25</v>
      </c>
    </row>
    <row r="796" spans="1:18" ht="15.75" customHeight="1" x14ac:dyDescent="0.3">
      <c r="A796" s="7" t="s">
        <v>262</v>
      </c>
      <c r="B796" s="7" t="s">
        <v>118</v>
      </c>
      <c r="C796" s="24" t="s">
        <v>47</v>
      </c>
      <c r="D796" s="24" t="s">
        <v>48</v>
      </c>
      <c r="E796" s="8">
        <v>46175</v>
      </c>
      <c r="F796" s="8">
        <v>46183</v>
      </c>
      <c r="G796" s="9">
        <f t="shared" si="156"/>
        <v>9</v>
      </c>
      <c r="H796" s="10">
        <v>60</v>
      </c>
      <c r="I796" s="10">
        <v>15</v>
      </c>
      <c r="J796" s="10">
        <v>7</v>
      </c>
      <c r="K796" s="11">
        <f t="shared" si="159"/>
        <v>6.666666666666667</v>
      </c>
      <c r="L796" s="11">
        <f t="shared" si="160"/>
        <v>1.6666666666666667</v>
      </c>
      <c r="M796" s="12">
        <f t="shared" si="161"/>
        <v>0.25</v>
      </c>
      <c r="N796" s="11">
        <f t="shared" si="162"/>
        <v>0.77777777777777779</v>
      </c>
      <c r="O796" s="12">
        <f t="shared" si="163"/>
        <v>0.46666666666666667</v>
      </c>
      <c r="P796" s="12">
        <f t="shared" si="164"/>
        <v>0.11666666666666667</v>
      </c>
      <c r="Q796" s="13">
        <f t="shared" si="167"/>
        <v>1.6666666666666667</v>
      </c>
      <c r="R796" s="13">
        <f t="shared" si="168"/>
        <v>0.77777777777777779</v>
      </c>
    </row>
    <row r="797" spans="1:18" ht="15.75" customHeight="1" x14ac:dyDescent="0.3">
      <c r="A797" s="7" t="s">
        <v>262</v>
      </c>
      <c r="B797" s="7" t="s">
        <v>46</v>
      </c>
      <c r="C797" s="24" t="s">
        <v>47</v>
      </c>
      <c r="D797" s="24" t="s">
        <v>48</v>
      </c>
      <c r="E797" s="8">
        <v>46175</v>
      </c>
      <c r="F797" s="8">
        <v>46183</v>
      </c>
      <c r="G797" s="9">
        <f t="shared" si="156"/>
        <v>9</v>
      </c>
      <c r="H797" s="10">
        <v>670</v>
      </c>
      <c r="I797" s="10">
        <v>226</v>
      </c>
      <c r="J797" s="10">
        <v>164</v>
      </c>
      <c r="K797" s="11">
        <f t="shared" si="159"/>
        <v>74.444444444444443</v>
      </c>
      <c r="L797" s="11">
        <f t="shared" si="160"/>
        <v>25.111111111111111</v>
      </c>
      <c r="M797" s="12">
        <f t="shared" si="161"/>
        <v>0.33731343283582088</v>
      </c>
      <c r="N797" s="11">
        <f t="shared" si="162"/>
        <v>18.222222222222221</v>
      </c>
      <c r="O797" s="12">
        <f t="shared" si="163"/>
        <v>0.72566371681415931</v>
      </c>
      <c r="P797" s="12">
        <f t="shared" si="164"/>
        <v>0.24477611940298508</v>
      </c>
      <c r="Q797" s="13">
        <f t="shared" si="167"/>
        <v>25.111111111111111</v>
      </c>
      <c r="R797" s="13">
        <f t="shared" si="168"/>
        <v>18.222222222222221</v>
      </c>
    </row>
    <row r="798" spans="1:18" ht="15.75" customHeight="1" x14ac:dyDescent="0.3">
      <c r="A798" s="7" t="s">
        <v>262</v>
      </c>
      <c r="B798" s="7" t="s">
        <v>49</v>
      </c>
      <c r="C798" s="24" t="s">
        <v>47</v>
      </c>
      <c r="D798" s="24" t="s">
        <v>48</v>
      </c>
      <c r="E798" s="8">
        <v>46175</v>
      </c>
      <c r="F798" s="8">
        <v>46183</v>
      </c>
      <c r="G798" s="9">
        <f t="shared" si="156"/>
        <v>9</v>
      </c>
      <c r="H798" s="10">
        <v>29</v>
      </c>
      <c r="I798" s="10">
        <v>11</v>
      </c>
      <c r="J798" s="10">
        <v>7</v>
      </c>
      <c r="K798" s="11">
        <f t="shared" si="159"/>
        <v>3.2222222222222223</v>
      </c>
      <c r="L798" s="11">
        <f t="shared" si="160"/>
        <v>1.2222222222222223</v>
      </c>
      <c r="M798" s="12">
        <f t="shared" si="161"/>
        <v>0.37931034482758619</v>
      </c>
      <c r="N798" s="11">
        <f t="shared" si="162"/>
        <v>0.77777777777777779</v>
      </c>
      <c r="O798" s="12">
        <f t="shared" si="163"/>
        <v>0.63636363636363635</v>
      </c>
      <c r="P798" s="12">
        <f t="shared" si="164"/>
        <v>0.2413793103448276</v>
      </c>
      <c r="Q798" s="13">
        <f t="shared" si="167"/>
        <v>1.2222222222222221</v>
      </c>
      <c r="R798" s="13">
        <f t="shared" si="168"/>
        <v>0.77777777777777779</v>
      </c>
    </row>
    <row r="799" spans="1:18" ht="15.75" customHeight="1" x14ac:dyDescent="0.3">
      <c r="A799" s="7" t="s">
        <v>262</v>
      </c>
      <c r="B799" s="7" t="s">
        <v>184</v>
      </c>
      <c r="C799" s="24" t="s">
        <v>47</v>
      </c>
      <c r="D799" s="24" t="s">
        <v>48</v>
      </c>
      <c r="E799" s="8">
        <v>46175</v>
      </c>
      <c r="F799" s="8">
        <v>46183</v>
      </c>
      <c r="G799" s="9">
        <f t="shared" si="156"/>
        <v>9</v>
      </c>
      <c r="H799" s="10">
        <v>774</v>
      </c>
      <c r="I799" s="10">
        <v>256</v>
      </c>
      <c r="J799" s="10">
        <v>160</v>
      </c>
      <c r="K799" s="11">
        <f t="shared" si="159"/>
        <v>86</v>
      </c>
      <c r="L799" s="11">
        <f t="shared" si="160"/>
        <v>28.444444444444443</v>
      </c>
      <c r="M799" s="12">
        <f t="shared" si="161"/>
        <v>0.33074935400516797</v>
      </c>
      <c r="N799" s="11">
        <f t="shared" si="162"/>
        <v>17.777777777777779</v>
      </c>
      <c r="O799" s="12">
        <f t="shared" si="163"/>
        <v>0.625</v>
      </c>
      <c r="P799" s="12">
        <f t="shared" si="164"/>
        <v>0.20671834625322996</v>
      </c>
      <c r="Q799" s="13">
        <f t="shared" si="167"/>
        <v>28.444444444444446</v>
      </c>
      <c r="R799" s="13">
        <f t="shared" si="168"/>
        <v>17.777777777777775</v>
      </c>
    </row>
    <row r="800" spans="1:18" ht="15.75" customHeight="1" x14ac:dyDescent="0.3">
      <c r="A800" s="7" t="s">
        <v>262</v>
      </c>
      <c r="B800" s="7" t="s">
        <v>185</v>
      </c>
      <c r="C800" s="24" t="s">
        <v>47</v>
      </c>
      <c r="D800" s="24" t="s">
        <v>48</v>
      </c>
      <c r="E800" s="8">
        <v>46175</v>
      </c>
      <c r="F800" s="8">
        <v>46183</v>
      </c>
      <c r="G800" s="9">
        <f t="shared" si="156"/>
        <v>9</v>
      </c>
      <c r="H800" s="10">
        <v>50</v>
      </c>
      <c r="I800" s="10">
        <v>17</v>
      </c>
      <c r="J800" s="10">
        <v>8</v>
      </c>
      <c r="K800" s="11">
        <f t="shared" si="159"/>
        <v>5.5555555555555554</v>
      </c>
      <c r="L800" s="11">
        <f t="shared" si="160"/>
        <v>1.8888888888888888</v>
      </c>
      <c r="M800" s="12">
        <f t="shared" si="161"/>
        <v>0.34</v>
      </c>
      <c r="N800" s="11">
        <f t="shared" si="162"/>
        <v>0.88888888888888884</v>
      </c>
      <c r="O800" s="12">
        <f t="shared" si="163"/>
        <v>0.47058823529411764</v>
      </c>
      <c r="P800" s="12">
        <f t="shared" si="164"/>
        <v>0.16</v>
      </c>
      <c r="Q800" s="13">
        <f t="shared" si="167"/>
        <v>1.8888888888888891</v>
      </c>
      <c r="R800" s="13">
        <f t="shared" si="168"/>
        <v>0.88888888888888884</v>
      </c>
    </row>
    <row r="801" spans="1:18" ht="15.75" customHeight="1" x14ac:dyDescent="0.3">
      <c r="A801" s="7" t="s">
        <v>262</v>
      </c>
      <c r="B801" s="7" t="s">
        <v>95</v>
      </c>
      <c r="C801" s="24" t="s">
        <v>47</v>
      </c>
      <c r="D801" s="24" t="s">
        <v>48</v>
      </c>
      <c r="E801" s="8">
        <v>46175</v>
      </c>
      <c r="F801" s="8">
        <v>46183</v>
      </c>
      <c r="G801" s="9">
        <f t="shared" si="156"/>
        <v>9</v>
      </c>
      <c r="H801" s="10">
        <v>512</v>
      </c>
      <c r="I801" s="10">
        <v>119</v>
      </c>
      <c r="J801" s="10">
        <v>91</v>
      </c>
      <c r="K801" s="11">
        <f t="shared" si="159"/>
        <v>56.888888888888886</v>
      </c>
      <c r="L801" s="11">
        <f t="shared" si="160"/>
        <v>13.222222222222221</v>
      </c>
      <c r="M801" s="12">
        <f t="shared" si="161"/>
        <v>0.232421875</v>
      </c>
      <c r="N801" s="11">
        <f t="shared" si="162"/>
        <v>10.111111111111111</v>
      </c>
      <c r="O801" s="12">
        <f t="shared" si="163"/>
        <v>0.76470588235294112</v>
      </c>
      <c r="P801" s="12">
        <f t="shared" si="164"/>
        <v>0.177734375</v>
      </c>
      <c r="Q801" s="13">
        <f t="shared" si="167"/>
        <v>13.222222222222221</v>
      </c>
      <c r="R801" s="13">
        <f t="shared" si="168"/>
        <v>10.111111111111111</v>
      </c>
    </row>
    <row r="802" spans="1:18" ht="15.75" customHeight="1" x14ac:dyDescent="0.3">
      <c r="A802" s="7" t="s">
        <v>262</v>
      </c>
      <c r="B802" s="7" t="s">
        <v>96</v>
      </c>
      <c r="C802" s="24" t="s">
        <v>47</v>
      </c>
      <c r="D802" s="24" t="s">
        <v>48</v>
      </c>
      <c r="E802" s="8">
        <v>46175</v>
      </c>
      <c r="F802" s="8">
        <v>46183</v>
      </c>
      <c r="G802" s="9">
        <f t="shared" si="156"/>
        <v>9</v>
      </c>
      <c r="H802" s="10">
        <v>10</v>
      </c>
      <c r="I802" s="10">
        <v>4</v>
      </c>
      <c r="J802" s="10">
        <v>3</v>
      </c>
      <c r="K802" s="11">
        <f t="shared" si="159"/>
        <v>1.1111111111111112</v>
      </c>
      <c r="L802" s="11">
        <f t="shared" si="160"/>
        <v>0.44444444444444442</v>
      </c>
      <c r="M802" s="12">
        <f t="shared" si="161"/>
        <v>0.4</v>
      </c>
      <c r="N802" s="11">
        <f t="shared" si="162"/>
        <v>0.33333333333333331</v>
      </c>
      <c r="O802" s="12">
        <f t="shared" si="163"/>
        <v>0.75</v>
      </c>
      <c r="P802" s="12">
        <f t="shared" si="164"/>
        <v>0.3</v>
      </c>
      <c r="Q802" s="13">
        <f t="shared" si="167"/>
        <v>0.44444444444444448</v>
      </c>
      <c r="R802" s="13">
        <f t="shared" si="168"/>
        <v>0.33333333333333331</v>
      </c>
    </row>
    <row r="803" spans="1:18" ht="15.75" customHeight="1" x14ac:dyDescent="0.3">
      <c r="A803" s="7" t="s">
        <v>262</v>
      </c>
      <c r="B803" s="7" t="s">
        <v>268</v>
      </c>
      <c r="C803" s="24" t="s">
        <v>58</v>
      </c>
      <c r="D803" s="24" t="s">
        <v>61</v>
      </c>
      <c r="E803" s="8">
        <v>46175</v>
      </c>
      <c r="F803" s="8">
        <v>46183</v>
      </c>
      <c r="G803" s="9">
        <f t="shared" si="156"/>
        <v>9</v>
      </c>
      <c r="H803" s="10">
        <v>137</v>
      </c>
      <c r="I803" s="10">
        <v>58</v>
      </c>
      <c r="J803" s="10">
        <v>28</v>
      </c>
      <c r="K803" s="11">
        <f t="shared" si="159"/>
        <v>15.222222222222221</v>
      </c>
      <c r="L803" s="11">
        <f t="shared" si="160"/>
        <v>6.4444444444444446</v>
      </c>
      <c r="M803" s="12">
        <f t="shared" si="161"/>
        <v>0.42335766423357662</v>
      </c>
      <c r="N803" s="11">
        <f t="shared" si="162"/>
        <v>3.1111111111111112</v>
      </c>
      <c r="O803" s="12">
        <f t="shared" si="163"/>
        <v>0.48275862068965519</v>
      </c>
      <c r="P803" s="12">
        <f t="shared" si="164"/>
        <v>0.20437956204379562</v>
      </c>
      <c r="Q803" s="13">
        <f t="shared" si="167"/>
        <v>6.4444444444444438</v>
      </c>
      <c r="R803" s="13">
        <f t="shared" si="168"/>
        <v>3.1111111111111112</v>
      </c>
    </row>
    <row r="804" spans="1:18" ht="15.75" customHeight="1" x14ac:dyDescent="0.3">
      <c r="A804" s="7" t="s">
        <v>262</v>
      </c>
      <c r="B804" s="7" t="s">
        <v>121</v>
      </c>
      <c r="C804" s="24" t="s">
        <v>58</v>
      </c>
      <c r="D804" s="24" t="s">
        <v>61</v>
      </c>
      <c r="E804" s="8">
        <v>46175</v>
      </c>
      <c r="F804" s="8">
        <v>46183</v>
      </c>
      <c r="G804" s="9">
        <f t="shared" si="156"/>
        <v>9</v>
      </c>
      <c r="H804" s="10">
        <v>484</v>
      </c>
      <c r="I804" s="10">
        <v>133</v>
      </c>
      <c r="J804" s="10">
        <v>79</v>
      </c>
      <c r="K804" s="11">
        <f t="shared" si="159"/>
        <v>53.777777777777779</v>
      </c>
      <c r="L804" s="11">
        <f t="shared" si="160"/>
        <v>14.777777777777779</v>
      </c>
      <c r="M804" s="12">
        <f t="shared" si="161"/>
        <v>0.27479338842975204</v>
      </c>
      <c r="N804" s="11">
        <f t="shared" si="162"/>
        <v>8.7777777777777786</v>
      </c>
      <c r="O804" s="12">
        <f t="shared" si="163"/>
        <v>0.59398496240601506</v>
      </c>
      <c r="P804" s="12">
        <f t="shared" si="164"/>
        <v>0.16322314049586778</v>
      </c>
      <c r="Q804" s="13">
        <f t="shared" si="167"/>
        <v>14.777777777777777</v>
      </c>
      <c r="R804" s="13">
        <f t="shared" si="168"/>
        <v>8.7777777777777786</v>
      </c>
    </row>
    <row r="805" spans="1:18" ht="15.75" customHeight="1" x14ac:dyDescent="0.3">
      <c r="A805" s="7" t="s">
        <v>262</v>
      </c>
      <c r="B805" s="7" t="s">
        <v>102</v>
      </c>
      <c r="C805" s="24" t="s">
        <v>58</v>
      </c>
      <c r="D805" s="24" t="s">
        <v>103</v>
      </c>
      <c r="E805" s="8">
        <v>46175</v>
      </c>
      <c r="F805" s="8">
        <v>46183</v>
      </c>
      <c r="G805" s="9">
        <f t="shared" si="156"/>
        <v>9</v>
      </c>
      <c r="H805" s="10">
        <v>206</v>
      </c>
      <c r="I805" s="10">
        <v>49</v>
      </c>
      <c r="J805" s="10">
        <v>26</v>
      </c>
      <c r="K805" s="11">
        <f t="shared" si="159"/>
        <v>22.888888888888889</v>
      </c>
      <c r="L805" s="11">
        <f t="shared" si="160"/>
        <v>5.4444444444444446</v>
      </c>
      <c r="M805" s="12">
        <f t="shared" si="161"/>
        <v>0.23786407766990292</v>
      </c>
      <c r="N805" s="11">
        <f t="shared" si="162"/>
        <v>2.8888888888888888</v>
      </c>
      <c r="O805" s="12">
        <f t="shared" si="163"/>
        <v>0.53061224489795922</v>
      </c>
      <c r="P805" s="12">
        <f t="shared" si="164"/>
        <v>0.12621359223300971</v>
      </c>
      <c r="Q805" s="13">
        <f t="shared" si="167"/>
        <v>5.4444444444444446</v>
      </c>
      <c r="R805" s="13">
        <f t="shared" si="168"/>
        <v>2.8888888888888888</v>
      </c>
    </row>
    <row r="806" spans="1:18" ht="15.75" customHeight="1" x14ac:dyDescent="0.3">
      <c r="A806" s="7" t="s">
        <v>262</v>
      </c>
      <c r="B806" s="7" t="s">
        <v>106</v>
      </c>
      <c r="C806" s="24" t="s">
        <v>58</v>
      </c>
      <c r="D806" s="24" t="s">
        <v>107</v>
      </c>
      <c r="E806" s="8">
        <v>46175</v>
      </c>
      <c r="F806" s="8">
        <v>46183</v>
      </c>
      <c r="G806" s="9">
        <f t="shared" si="156"/>
        <v>9</v>
      </c>
      <c r="H806" s="10">
        <v>38</v>
      </c>
      <c r="I806" s="10">
        <v>13</v>
      </c>
      <c r="J806" s="10">
        <v>5</v>
      </c>
      <c r="K806" s="11">
        <f t="shared" si="159"/>
        <v>4.2222222222222223</v>
      </c>
      <c r="L806" s="11">
        <f t="shared" si="160"/>
        <v>1.4444444444444444</v>
      </c>
      <c r="M806" s="12">
        <f t="shared" si="161"/>
        <v>0.34210526315789475</v>
      </c>
      <c r="N806" s="11">
        <f t="shared" si="162"/>
        <v>0.55555555555555558</v>
      </c>
      <c r="O806" s="12">
        <f t="shared" si="163"/>
        <v>0.38461538461538464</v>
      </c>
      <c r="P806" s="12">
        <f t="shared" si="164"/>
        <v>0.13157894736842105</v>
      </c>
      <c r="Q806" s="13">
        <f t="shared" si="167"/>
        <v>1.4444444444444444</v>
      </c>
      <c r="R806" s="13">
        <f t="shared" si="168"/>
        <v>0.55555555555555558</v>
      </c>
    </row>
    <row r="807" spans="1:18" ht="15.75" customHeight="1" x14ac:dyDescent="0.3">
      <c r="A807" s="7" t="s">
        <v>262</v>
      </c>
      <c r="B807" s="7" t="s">
        <v>259</v>
      </c>
      <c r="C807" s="24" t="s">
        <v>58</v>
      </c>
      <c r="D807" s="24" t="s">
        <v>193</v>
      </c>
      <c r="E807" s="8">
        <v>46175</v>
      </c>
      <c r="F807" s="8">
        <v>46183</v>
      </c>
      <c r="G807" s="9">
        <f t="shared" si="156"/>
        <v>9</v>
      </c>
      <c r="H807" s="10" t="s">
        <v>433</v>
      </c>
      <c r="I807" s="10" t="s">
        <v>433</v>
      </c>
      <c r="J807" s="10" t="s">
        <v>433</v>
      </c>
      <c r="K807" s="11" t="str">
        <f t="shared" si="159"/>
        <v/>
      </c>
      <c r="L807" s="11" t="str">
        <f t="shared" si="160"/>
        <v/>
      </c>
      <c r="M807" s="12" t="str">
        <f t="shared" si="161"/>
        <v/>
      </c>
      <c r="N807" s="11" t="str">
        <f t="shared" si="162"/>
        <v/>
      </c>
      <c r="O807" s="12" t="str">
        <f t="shared" si="163"/>
        <v/>
      </c>
      <c r="P807" s="12" t="str">
        <f t="shared" si="164"/>
        <v/>
      </c>
    </row>
    <row r="808" spans="1:18" ht="15.75" customHeight="1" x14ac:dyDescent="0.3">
      <c r="A808" s="7" t="s">
        <v>262</v>
      </c>
      <c r="B808" s="7" t="s">
        <v>110</v>
      </c>
      <c r="C808" s="24" t="s">
        <v>58</v>
      </c>
      <c r="D808" s="24" t="s">
        <v>66</v>
      </c>
      <c r="E808" s="8">
        <v>46175</v>
      </c>
      <c r="F808" s="8">
        <v>46183</v>
      </c>
      <c r="G808" s="9">
        <f t="shared" si="156"/>
        <v>9</v>
      </c>
      <c r="H808" s="10">
        <v>138</v>
      </c>
      <c r="I808" s="10">
        <v>40</v>
      </c>
      <c r="J808" s="10">
        <v>25</v>
      </c>
      <c r="K808" s="11">
        <f t="shared" si="159"/>
        <v>15.333333333333334</v>
      </c>
      <c r="L808" s="11">
        <f t="shared" si="160"/>
        <v>4.4444444444444446</v>
      </c>
      <c r="M808" s="12">
        <f t="shared" si="161"/>
        <v>0.28985507246376813</v>
      </c>
      <c r="N808" s="11">
        <f t="shared" si="162"/>
        <v>2.7777777777777777</v>
      </c>
      <c r="O808" s="12">
        <f t="shared" si="163"/>
        <v>0.625</v>
      </c>
      <c r="P808" s="12">
        <f t="shared" si="164"/>
        <v>0.18115942028985507</v>
      </c>
      <c r="Q808" s="13">
        <f>IFERROR((I808/H808)*K808,"")</f>
        <v>4.4444444444444446</v>
      </c>
      <c r="R808" s="13">
        <f>IFERROR((J808/H808)*K808,"")</f>
        <v>2.7777777777777777</v>
      </c>
    </row>
    <row r="809" spans="1:18" ht="15.75" customHeight="1" x14ac:dyDescent="0.3">
      <c r="A809" s="7" t="s">
        <v>262</v>
      </c>
      <c r="B809" s="7" t="s">
        <v>111</v>
      </c>
      <c r="C809" s="24" t="s">
        <v>58</v>
      </c>
      <c r="D809" s="24" t="s">
        <v>68</v>
      </c>
      <c r="E809" s="8">
        <v>46175</v>
      </c>
      <c r="F809" s="8">
        <v>46183</v>
      </c>
      <c r="G809" s="9">
        <f t="shared" si="156"/>
        <v>9</v>
      </c>
      <c r="H809" s="10">
        <v>17</v>
      </c>
      <c r="I809" s="10">
        <v>8</v>
      </c>
      <c r="J809" s="10">
        <v>4</v>
      </c>
      <c r="K809" s="11">
        <f t="shared" si="159"/>
        <v>1.8888888888888888</v>
      </c>
      <c r="L809" s="11">
        <f t="shared" si="160"/>
        <v>0.88888888888888884</v>
      </c>
      <c r="M809" s="12">
        <f t="shared" si="161"/>
        <v>0.47058823529411764</v>
      </c>
      <c r="N809" s="11">
        <f t="shared" si="162"/>
        <v>0.44444444444444442</v>
      </c>
      <c r="O809" s="12">
        <f t="shared" si="163"/>
        <v>0.5</v>
      </c>
      <c r="P809" s="12">
        <f t="shared" si="164"/>
        <v>0.23529411764705882</v>
      </c>
      <c r="Q809" s="13">
        <f>IFERROR((I809/H809)*K809,"")</f>
        <v>0.88888888888888884</v>
      </c>
      <c r="R809" s="13">
        <f>IFERROR((J809/H809)*K809,"")</f>
        <v>0.44444444444444442</v>
      </c>
    </row>
    <row r="810" spans="1:18" ht="15.75" customHeight="1" x14ac:dyDescent="0.3">
      <c r="A810" s="7" t="s">
        <v>262</v>
      </c>
      <c r="B810" s="7" t="s">
        <v>71</v>
      </c>
      <c r="C810" s="24" t="s">
        <v>58</v>
      </c>
      <c r="D810" s="24" t="s">
        <v>66</v>
      </c>
      <c r="E810" s="8">
        <v>46175</v>
      </c>
      <c r="F810" s="8">
        <v>46183</v>
      </c>
      <c r="G810" s="9">
        <f t="shared" si="156"/>
        <v>9</v>
      </c>
      <c r="H810" s="10">
        <v>245</v>
      </c>
      <c r="I810" s="10">
        <v>55</v>
      </c>
      <c r="J810" s="10">
        <v>35</v>
      </c>
      <c r="K810" s="11">
        <f t="shared" si="159"/>
        <v>27.222222222222221</v>
      </c>
      <c r="L810" s="11">
        <f t="shared" si="160"/>
        <v>6.1111111111111107</v>
      </c>
      <c r="M810" s="12">
        <f t="shared" si="161"/>
        <v>0.22448979591836735</v>
      </c>
      <c r="N810" s="11">
        <f t="shared" si="162"/>
        <v>3.8888888888888888</v>
      </c>
      <c r="O810" s="12">
        <f t="shared" si="163"/>
        <v>0.63636363636363635</v>
      </c>
      <c r="P810" s="12">
        <f t="shared" si="164"/>
        <v>0.14285714285714285</v>
      </c>
      <c r="Q810" s="13">
        <f>IFERROR((I810/H810)*K810,"")</f>
        <v>6.1111111111111107</v>
      </c>
      <c r="R810" s="13">
        <f>IFERROR((J810/H810)*K810,"")</f>
        <v>3.8888888888888884</v>
      </c>
    </row>
    <row r="811" spans="1:18" ht="15.75" customHeight="1" x14ac:dyDescent="0.3">
      <c r="A811" s="7" t="s">
        <v>262</v>
      </c>
      <c r="B811" s="7" t="s">
        <v>72</v>
      </c>
      <c r="C811" s="24" t="s">
        <v>58</v>
      </c>
      <c r="D811" s="24" t="s">
        <v>68</v>
      </c>
      <c r="E811" s="8">
        <v>46175</v>
      </c>
      <c r="F811" s="8">
        <v>46183</v>
      </c>
      <c r="G811" s="9">
        <f t="shared" si="156"/>
        <v>9</v>
      </c>
      <c r="H811" s="10">
        <v>25</v>
      </c>
      <c r="I811" s="10">
        <v>10</v>
      </c>
      <c r="J811" s="10">
        <v>5</v>
      </c>
      <c r="K811" s="11">
        <f t="shared" si="159"/>
        <v>2.7777777777777777</v>
      </c>
      <c r="L811" s="11">
        <f t="shared" si="160"/>
        <v>1.1111111111111112</v>
      </c>
      <c r="M811" s="12">
        <f t="shared" si="161"/>
        <v>0.4</v>
      </c>
      <c r="N811" s="11">
        <f t="shared" si="162"/>
        <v>0.55555555555555558</v>
      </c>
      <c r="O811" s="12">
        <f t="shared" si="163"/>
        <v>0.5</v>
      </c>
      <c r="P811" s="12">
        <f t="shared" si="164"/>
        <v>0.2</v>
      </c>
      <c r="Q811" s="13">
        <f>IFERROR((I811/H811)*K811,"")</f>
        <v>1.1111111111111112</v>
      </c>
      <c r="R811" s="13">
        <f>IFERROR((J811/H811)*K811,"")</f>
        <v>0.55555555555555558</v>
      </c>
    </row>
    <row r="812" spans="1:18" ht="15" customHeight="1" x14ac:dyDescent="0.3">
      <c r="A812" s="7" t="s">
        <v>262</v>
      </c>
      <c r="B812" s="7" t="s">
        <v>132</v>
      </c>
      <c r="C812" s="24" t="s">
        <v>58</v>
      </c>
      <c r="D812" s="24" t="s">
        <v>74</v>
      </c>
      <c r="E812" s="8">
        <v>46175</v>
      </c>
      <c r="F812" s="8">
        <v>46183</v>
      </c>
      <c r="G812" s="9">
        <f t="shared" si="156"/>
        <v>9</v>
      </c>
      <c r="H812" s="10">
        <v>122</v>
      </c>
      <c r="I812" s="10">
        <v>45</v>
      </c>
      <c r="J812" s="10">
        <v>29</v>
      </c>
      <c r="K812" s="11">
        <f t="shared" si="159"/>
        <v>13.555555555555555</v>
      </c>
      <c r="L812" s="11">
        <f t="shared" si="160"/>
        <v>5</v>
      </c>
      <c r="M812" s="12">
        <f t="shared" si="161"/>
        <v>0.36885245901639346</v>
      </c>
      <c r="N812" s="11">
        <f t="shared" si="162"/>
        <v>3.2222222222222223</v>
      </c>
      <c r="O812" s="12">
        <f t="shared" si="163"/>
        <v>0.64444444444444449</v>
      </c>
      <c r="P812" s="12">
        <f t="shared" si="164"/>
        <v>0.23770491803278687</v>
      </c>
      <c r="Q812" s="13">
        <f>IFERROR((I812/H812)*K812,"")</f>
        <v>5</v>
      </c>
      <c r="R812" s="13">
        <f>IFERROR((J812/H812)*K812,"")</f>
        <v>3.2222222222222219</v>
      </c>
    </row>
    <row r="813" spans="1:18" ht="15.75" customHeight="1" x14ac:dyDescent="0.3">
      <c r="A813" s="7" t="s">
        <v>269</v>
      </c>
      <c r="B813" s="7" t="s">
        <v>108</v>
      </c>
      <c r="C813" s="24" t="s">
        <v>58</v>
      </c>
      <c r="D813" s="24" t="s">
        <v>66</v>
      </c>
      <c r="E813" s="8">
        <v>46184</v>
      </c>
      <c r="F813" s="8">
        <v>46190</v>
      </c>
      <c r="G813" s="9">
        <f t="shared" si="156"/>
        <v>7</v>
      </c>
      <c r="H813" s="10">
        <v>677</v>
      </c>
      <c r="I813" s="10">
        <v>188</v>
      </c>
      <c r="J813" s="10">
        <v>23</v>
      </c>
      <c r="K813" s="11">
        <f t="shared" si="159"/>
        <v>96.714285714285708</v>
      </c>
      <c r="L813" s="11">
        <f t="shared" si="160"/>
        <v>26.857142857142858</v>
      </c>
      <c r="M813" s="12">
        <f t="shared" si="161"/>
        <v>0.2776957163958641</v>
      </c>
      <c r="N813" s="11">
        <f t="shared" si="162"/>
        <v>3.2857142857142856</v>
      </c>
      <c r="O813" s="12">
        <f t="shared" si="163"/>
        <v>0.12234042553191489</v>
      </c>
      <c r="P813" s="12">
        <f t="shared" si="164"/>
        <v>3.3973412112259974E-2</v>
      </c>
      <c r="Q813" s="13">
        <f t="shared" ref="Q813:Q876" si="169">IFERROR((I813/H813)*K813,"")</f>
        <v>26.857142857142854</v>
      </c>
      <c r="R813" s="13">
        <f t="shared" ref="R813:R876" si="170">IFERROR((J813/H813)*K813,"")</f>
        <v>3.285714285714286</v>
      </c>
    </row>
    <row r="814" spans="1:18" ht="15.75" customHeight="1" x14ac:dyDescent="0.3">
      <c r="A814" s="7" t="s">
        <v>269</v>
      </c>
      <c r="B814" s="7" t="s">
        <v>109</v>
      </c>
      <c r="C814" s="24" t="s">
        <v>58</v>
      </c>
      <c r="D814" s="24" t="s">
        <v>68</v>
      </c>
      <c r="E814" s="8">
        <v>46184</v>
      </c>
      <c r="F814" s="8">
        <v>46190</v>
      </c>
      <c r="G814" s="9">
        <f t="shared" si="156"/>
        <v>7</v>
      </c>
      <c r="H814" s="10">
        <v>79</v>
      </c>
      <c r="I814" s="10">
        <v>36</v>
      </c>
      <c r="J814" s="10">
        <v>15</v>
      </c>
      <c r="K814" s="11">
        <f t="shared" si="159"/>
        <v>11.285714285714286</v>
      </c>
      <c r="L814" s="11">
        <f t="shared" si="160"/>
        <v>5.1428571428571432</v>
      </c>
      <c r="M814" s="12">
        <f t="shared" si="161"/>
        <v>0.45569620253164556</v>
      </c>
      <c r="N814" s="11">
        <f t="shared" si="162"/>
        <v>2.1428571428571428</v>
      </c>
      <c r="O814" s="12">
        <f t="shared" si="163"/>
        <v>0.41666666666666669</v>
      </c>
      <c r="P814" s="12">
        <f t="shared" si="164"/>
        <v>0.189873417721519</v>
      </c>
      <c r="Q814" s="13">
        <f t="shared" si="169"/>
        <v>5.1428571428571432</v>
      </c>
      <c r="R814" s="13">
        <f t="shared" si="170"/>
        <v>2.1428571428571432</v>
      </c>
    </row>
    <row r="815" spans="1:18" ht="15.75" customHeight="1" x14ac:dyDescent="0.3">
      <c r="A815" s="7" t="s">
        <v>269</v>
      </c>
      <c r="B815" s="7" t="s">
        <v>114</v>
      </c>
      <c r="C815" s="24" t="s">
        <v>58</v>
      </c>
      <c r="D815" s="24" t="s">
        <v>74</v>
      </c>
      <c r="E815" s="8">
        <v>46184</v>
      </c>
      <c r="F815" s="8">
        <v>46190</v>
      </c>
      <c r="G815" s="9">
        <f t="shared" si="156"/>
        <v>7</v>
      </c>
      <c r="H815" s="10">
        <v>79</v>
      </c>
      <c r="I815" s="10">
        <v>32</v>
      </c>
      <c r="J815" s="10">
        <v>8</v>
      </c>
      <c r="K815" s="11">
        <f t="shared" si="159"/>
        <v>11.285714285714286</v>
      </c>
      <c r="L815" s="11">
        <f t="shared" si="160"/>
        <v>4.5714285714285712</v>
      </c>
      <c r="M815" s="12">
        <f t="shared" si="161"/>
        <v>0.4050632911392405</v>
      </c>
      <c r="N815" s="11">
        <f t="shared" si="162"/>
        <v>1.1428571428571428</v>
      </c>
      <c r="O815" s="12">
        <f t="shared" si="163"/>
        <v>0.25</v>
      </c>
      <c r="P815" s="12">
        <f t="shared" si="164"/>
        <v>0.10126582278481013</v>
      </c>
      <c r="Q815" s="13">
        <f t="shared" si="169"/>
        <v>4.5714285714285721</v>
      </c>
      <c r="R815" s="13">
        <f t="shared" si="170"/>
        <v>1.142857142857143</v>
      </c>
    </row>
    <row r="816" spans="1:18" ht="15.75" customHeight="1" x14ac:dyDescent="0.3">
      <c r="A816" s="7" t="s">
        <v>269</v>
      </c>
      <c r="B816" s="7" t="s">
        <v>176</v>
      </c>
      <c r="C816" s="24" t="s">
        <v>58</v>
      </c>
      <c r="D816" s="24" t="s">
        <v>61</v>
      </c>
      <c r="E816" s="8">
        <v>46184</v>
      </c>
      <c r="F816" s="8">
        <v>46190</v>
      </c>
      <c r="G816" s="9">
        <f t="shared" si="156"/>
        <v>7</v>
      </c>
      <c r="H816" s="10">
        <v>833</v>
      </c>
      <c r="I816" s="10">
        <v>267</v>
      </c>
      <c r="J816" s="10">
        <v>83</v>
      </c>
      <c r="K816" s="11">
        <f t="shared" si="159"/>
        <v>119</v>
      </c>
      <c r="L816" s="11">
        <f t="shared" si="160"/>
        <v>38.142857142857146</v>
      </c>
      <c r="M816" s="12">
        <f t="shared" si="161"/>
        <v>0.32052821128451381</v>
      </c>
      <c r="N816" s="11">
        <f t="shared" si="162"/>
        <v>11.857142857142858</v>
      </c>
      <c r="O816" s="12">
        <f t="shared" si="163"/>
        <v>0.31086142322097376</v>
      </c>
      <c r="P816" s="12">
        <f t="shared" si="164"/>
        <v>9.9639855942376954E-2</v>
      </c>
      <c r="Q816" s="13">
        <f t="shared" si="169"/>
        <v>38.142857142857146</v>
      </c>
      <c r="R816" s="13">
        <f t="shared" si="170"/>
        <v>11.857142857142858</v>
      </c>
    </row>
    <row r="817" spans="1:18" ht="15.75" customHeight="1" x14ac:dyDescent="0.3">
      <c r="A817" s="7" t="s">
        <v>269</v>
      </c>
      <c r="B817" s="7" t="s">
        <v>177</v>
      </c>
      <c r="C817" s="24" t="s">
        <v>58</v>
      </c>
      <c r="D817" s="24" t="s">
        <v>61</v>
      </c>
      <c r="E817" s="8">
        <v>46184</v>
      </c>
      <c r="F817" s="8">
        <v>46190</v>
      </c>
      <c r="G817" s="9">
        <f t="shared" si="156"/>
        <v>7</v>
      </c>
      <c r="H817" s="10" t="s">
        <v>433</v>
      </c>
      <c r="I817" s="10" t="s">
        <v>433</v>
      </c>
      <c r="J817" s="10" t="s">
        <v>433</v>
      </c>
      <c r="K817" s="11" t="str">
        <f t="shared" si="159"/>
        <v/>
      </c>
      <c r="L817" s="11" t="str">
        <f t="shared" si="160"/>
        <v/>
      </c>
      <c r="M817" s="12" t="str">
        <f t="shared" si="161"/>
        <v/>
      </c>
      <c r="N817" s="11" t="str">
        <f t="shared" si="162"/>
        <v/>
      </c>
      <c r="O817" s="12" t="str">
        <f t="shared" si="163"/>
        <v/>
      </c>
      <c r="P817" s="12" t="str">
        <f t="shared" si="164"/>
        <v/>
      </c>
      <c r="Q817" s="13" t="str">
        <f t="shared" si="169"/>
        <v/>
      </c>
      <c r="R817" s="13" t="str">
        <f t="shared" si="170"/>
        <v/>
      </c>
    </row>
    <row r="818" spans="1:18" ht="15.75" customHeight="1" x14ac:dyDescent="0.3">
      <c r="A818" s="7" t="s">
        <v>269</v>
      </c>
      <c r="B818" s="7" t="s">
        <v>117</v>
      </c>
      <c r="C818" s="24" t="s">
        <v>47</v>
      </c>
      <c r="D818" s="24" t="s">
        <v>48</v>
      </c>
      <c r="E818" s="8">
        <v>46184</v>
      </c>
      <c r="F818" s="8">
        <v>46190</v>
      </c>
      <c r="G818" s="9">
        <f t="shared" si="156"/>
        <v>7</v>
      </c>
      <c r="H818" s="10">
        <v>869</v>
      </c>
      <c r="I818" s="10">
        <v>293</v>
      </c>
      <c r="J818" s="10">
        <v>102</v>
      </c>
      <c r="K818" s="11">
        <f t="shared" si="159"/>
        <v>124.14285714285714</v>
      </c>
      <c r="L818" s="11">
        <f t="shared" si="160"/>
        <v>41.857142857142854</v>
      </c>
      <c r="M818" s="12">
        <f t="shared" si="161"/>
        <v>0.33716915995397007</v>
      </c>
      <c r="N818" s="11">
        <f t="shared" si="162"/>
        <v>14.571428571428571</v>
      </c>
      <c r="O818" s="12">
        <f t="shared" si="163"/>
        <v>0.34812286689419797</v>
      </c>
      <c r="P818" s="12">
        <f t="shared" si="164"/>
        <v>0.11737629459148446</v>
      </c>
      <c r="Q818" s="13">
        <f t="shared" si="169"/>
        <v>41.857142857142854</v>
      </c>
      <c r="R818" s="13">
        <f t="shared" si="170"/>
        <v>14.571428571428571</v>
      </c>
    </row>
    <row r="819" spans="1:18" ht="15.75" customHeight="1" x14ac:dyDescent="0.3">
      <c r="A819" s="7" t="s">
        <v>269</v>
      </c>
      <c r="B819" s="7" t="s">
        <v>118</v>
      </c>
      <c r="C819" s="24" t="s">
        <v>47</v>
      </c>
      <c r="D819" s="24" t="s">
        <v>48</v>
      </c>
      <c r="E819" s="8">
        <v>46184</v>
      </c>
      <c r="F819" s="8">
        <v>46190</v>
      </c>
      <c r="G819" s="9">
        <f t="shared" ref="G819:G882" si="171">F819-E819+1</f>
        <v>7</v>
      </c>
      <c r="H819" s="10">
        <v>30</v>
      </c>
      <c r="I819" s="10">
        <v>8</v>
      </c>
      <c r="J819" s="10">
        <v>2</v>
      </c>
      <c r="K819" s="11">
        <f t="shared" si="159"/>
        <v>4.2857142857142856</v>
      </c>
      <c r="L819" s="11">
        <f t="shared" si="160"/>
        <v>1.1428571428571428</v>
      </c>
      <c r="M819" s="12">
        <f t="shared" si="161"/>
        <v>0.26666666666666666</v>
      </c>
      <c r="N819" s="11">
        <f t="shared" si="162"/>
        <v>0.2857142857142857</v>
      </c>
      <c r="O819" s="12">
        <f t="shared" si="163"/>
        <v>0.25</v>
      </c>
      <c r="P819" s="12">
        <f t="shared" si="164"/>
        <v>6.6666666666666666E-2</v>
      </c>
      <c r="Q819" s="13">
        <f t="shared" si="169"/>
        <v>1.1428571428571428</v>
      </c>
      <c r="R819" s="13">
        <f t="shared" si="170"/>
        <v>0.2857142857142857</v>
      </c>
    </row>
    <row r="820" spans="1:18" ht="15.75" customHeight="1" x14ac:dyDescent="0.3">
      <c r="A820" s="7" t="s">
        <v>269</v>
      </c>
      <c r="B820" s="7" t="s">
        <v>270</v>
      </c>
      <c r="C820" s="24" t="s">
        <v>47</v>
      </c>
      <c r="D820" s="24" t="s">
        <v>48</v>
      </c>
      <c r="E820" s="8">
        <v>46184</v>
      </c>
      <c r="F820" s="8">
        <v>46190</v>
      </c>
      <c r="G820" s="9">
        <f t="shared" si="171"/>
        <v>7</v>
      </c>
      <c r="H820" s="10">
        <v>428</v>
      </c>
      <c r="I820" s="10">
        <v>153</v>
      </c>
      <c r="J820" s="10">
        <v>8</v>
      </c>
      <c r="K820" s="11">
        <f t="shared" si="159"/>
        <v>61.142857142857146</v>
      </c>
      <c r="L820" s="11">
        <f t="shared" si="160"/>
        <v>21.857142857142858</v>
      </c>
      <c r="M820" s="12">
        <f t="shared" si="161"/>
        <v>0.3574766355140187</v>
      </c>
      <c r="N820" s="11">
        <f t="shared" si="162"/>
        <v>1.1428571428571428</v>
      </c>
      <c r="O820" s="12">
        <f t="shared" si="163"/>
        <v>5.2287581699346407E-2</v>
      </c>
      <c r="P820" s="12">
        <f t="shared" si="164"/>
        <v>1.8691588785046728E-2</v>
      </c>
      <c r="Q820" s="13">
        <f t="shared" si="169"/>
        <v>21.857142857142858</v>
      </c>
      <c r="R820" s="13">
        <f t="shared" si="170"/>
        <v>1.1428571428571428</v>
      </c>
    </row>
    <row r="821" spans="1:18" ht="15.75" customHeight="1" x14ac:dyDescent="0.3">
      <c r="A821" s="7" t="s">
        <v>269</v>
      </c>
      <c r="B821" s="7" t="s">
        <v>271</v>
      </c>
      <c r="C821" s="24" t="s">
        <v>47</v>
      </c>
      <c r="D821" s="24" t="s">
        <v>48</v>
      </c>
      <c r="E821" s="8">
        <v>46184</v>
      </c>
      <c r="F821" s="8">
        <v>46190</v>
      </c>
      <c r="G821" s="9">
        <f t="shared" si="171"/>
        <v>7</v>
      </c>
      <c r="H821" s="10">
        <v>5</v>
      </c>
      <c r="I821" s="10">
        <v>3</v>
      </c>
      <c r="J821" s="10">
        <v>0</v>
      </c>
      <c r="K821" s="11">
        <f t="shared" si="159"/>
        <v>0.7142857142857143</v>
      </c>
      <c r="L821" s="11">
        <f t="shared" si="160"/>
        <v>0.42857142857142855</v>
      </c>
      <c r="M821" s="12">
        <f t="shared" si="161"/>
        <v>0.6</v>
      </c>
      <c r="N821" s="11">
        <f t="shared" si="162"/>
        <v>0</v>
      </c>
      <c r="O821" s="12">
        <f t="shared" si="163"/>
        <v>0</v>
      </c>
      <c r="P821" s="12">
        <f t="shared" si="164"/>
        <v>0</v>
      </c>
      <c r="Q821" s="13">
        <f t="shared" si="169"/>
        <v>0.42857142857142855</v>
      </c>
      <c r="R821" s="13">
        <f t="shared" si="170"/>
        <v>0</v>
      </c>
    </row>
    <row r="822" spans="1:18" ht="15.75" customHeight="1" x14ac:dyDescent="0.3">
      <c r="A822" s="7" t="s">
        <v>269</v>
      </c>
      <c r="B822" s="7" t="s">
        <v>188</v>
      </c>
      <c r="C822" s="24" t="s">
        <v>34</v>
      </c>
      <c r="D822" s="24" t="s">
        <v>53</v>
      </c>
      <c r="E822" s="8">
        <v>46184</v>
      </c>
      <c r="F822" s="8">
        <v>46190</v>
      </c>
      <c r="G822" s="9">
        <f t="shared" si="171"/>
        <v>7</v>
      </c>
      <c r="H822" s="10">
        <v>167</v>
      </c>
      <c r="I822" s="10">
        <v>65</v>
      </c>
      <c r="J822" s="10">
        <v>29</v>
      </c>
      <c r="K822" s="11">
        <f t="shared" si="159"/>
        <v>23.857142857142858</v>
      </c>
      <c r="L822" s="11">
        <f t="shared" si="160"/>
        <v>9.2857142857142865</v>
      </c>
      <c r="M822" s="12">
        <f t="shared" si="161"/>
        <v>0.38922155688622756</v>
      </c>
      <c r="N822" s="11">
        <f t="shared" si="162"/>
        <v>4.1428571428571432</v>
      </c>
      <c r="O822" s="12">
        <f t="shared" si="163"/>
        <v>0.44615384615384618</v>
      </c>
      <c r="P822" s="12">
        <f t="shared" si="164"/>
        <v>0.17365269461077845</v>
      </c>
      <c r="Q822" s="13">
        <f t="shared" si="169"/>
        <v>9.2857142857142865</v>
      </c>
      <c r="R822" s="13">
        <f t="shared" si="170"/>
        <v>4.1428571428571432</v>
      </c>
    </row>
    <row r="823" spans="1:18" ht="15.75" customHeight="1" x14ac:dyDescent="0.3">
      <c r="A823" s="7" t="s">
        <v>269</v>
      </c>
      <c r="B823" s="7" t="s">
        <v>249</v>
      </c>
      <c r="C823" s="24" t="s">
        <v>47</v>
      </c>
      <c r="D823" s="24" t="s">
        <v>48</v>
      </c>
      <c r="E823" s="8">
        <v>46184</v>
      </c>
      <c r="F823" s="8">
        <v>46190</v>
      </c>
      <c r="G823" s="9">
        <f t="shared" si="171"/>
        <v>7</v>
      </c>
      <c r="H823" s="10">
        <v>326</v>
      </c>
      <c r="I823" s="10">
        <v>98</v>
      </c>
      <c r="J823" s="10">
        <v>26</v>
      </c>
      <c r="K823" s="11">
        <f t="shared" si="159"/>
        <v>46.571428571428569</v>
      </c>
      <c r="L823" s="11">
        <f t="shared" si="160"/>
        <v>14</v>
      </c>
      <c r="M823" s="12">
        <f t="shared" si="161"/>
        <v>0.30061349693251532</v>
      </c>
      <c r="N823" s="11">
        <f t="shared" si="162"/>
        <v>3.7142857142857144</v>
      </c>
      <c r="O823" s="12">
        <f t="shared" si="163"/>
        <v>0.26530612244897961</v>
      </c>
      <c r="P823" s="12">
        <f t="shared" si="164"/>
        <v>7.9754601226993863E-2</v>
      </c>
      <c r="Q823" s="13">
        <f t="shared" si="169"/>
        <v>13.999999999999998</v>
      </c>
      <c r="R823" s="13">
        <f t="shared" si="170"/>
        <v>3.714285714285714</v>
      </c>
    </row>
    <row r="824" spans="1:18" ht="15.75" customHeight="1" x14ac:dyDescent="0.3">
      <c r="A824" s="7" t="s">
        <v>269</v>
      </c>
      <c r="B824" s="7" t="s">
        <v>214</v>
      </c>
      <c r="C824" s="24" t="s">
        <v>47</v>
      </c>
      <c r="D824" s="24" t="s">
        <v>53</v>
      </c>
      <c r="E824" s="8">
        <v>46184</v>
      </c>
      <c r="F824" s="8">
        <v>46190</v>
      </c>
      <c r="G824" s="9">
        <f t="shared" si="171"/>
        <v>7</v>
      </c>
      <c r="H824" s="10">
        <v>9</v>
      </c>
      <c r="I824" s="10">
        <v>2</v>
      </c>
      <c r="J824" s="10">
        <v>0</v>
      </c>
      <c r="K824" s="11">
        <f t="shared" ref="K824:K887" si="172">IFERROR(H824/G824,"")</f>
        <v>1.2857142857142858</v>
      </c>
      <c r="L824" s="11">
        <f t="shared" ref="L824:L887" si="173">IFERROR(I824/G824,"")</f>
        <v>0.2857142857142857</v>
      </c>
      <c r="M824" s="12">
        <f t="shared" ref="M824:M887" si="174">IFERROR(I824/H824,"")</f>
        <v>0.22222222222222221</v>
      </c>
      <c r="N824" s="11">
        <f t="shared" ref="N824:N887" si="175">IFERROR(J824/G824,"")</f>
        <v>0</v>
      </c>
      <c r="O824" s="12">
        <f t="shared" ref="O824:O887" si="176">IFERROR(J824/I824,"")</f>
        <v>0</v>
      </c>
      <c r="P824" s="12">
        <f t="shared" ref="P824:P887" si="177">IFERROR(J824/H824,"")</f>
        <v>0</v>
      </c>
      <c r="Q824" s="13">
        <f t="shared" si="169"/>
        <v>0.2857142857142857</v>
      </c>
      <c r="R824" s="13">
        <f t="shared" si="170"/>
        <v>0</v>
      </c>
    </row>
    <row r="825" spans="1:18" ht="15.75" customHeight="1" x14ac:dyDescent="0.3">
      <c r="A825" s="7" t="s">
        <v>269</v>
      </c>
      <c r="B825" s="7" t="s">
        <v>33</v>
      </c>
      <c r="C825" s="24" t="s">
        <v>34</v>
      </c>
      <c r="D825" s="24" t="s">
        <v>35</v>
      </c>
      <c r="E825" s="8">
        <v>46184</v>
      </c>
      <c r="F825" s="8">
        <v>46190</v>
      </c>
      <c r="G825" s="9">
        <f t="shared" si="171"/>
        <v>7</v>
      </c>
      <c r="H825" s="10">
        <v>894</v>
      </c>
      <c r="I825" s="10">
        <v>281</v>
      </c>
      <c r="J825" s="10">
        <v>101</v>
      </c>
      <c r="K825" s="11">
        <f t="shared" si="172"/>
        <v>127.71428571428571</v>
      </c>
      <c r="L825" s="11">
        <f t="shared" si="173"/>
        <v>40.142857142857146</v>
      </c>
      <c r="M825" s="12">
        <f t="shared" si="174"/>
        <v>0.31431767337807609</v>
      </c>
      <c r="N825" s="11">
        <f t="shared" si="175"/>
        <v>14.428571428571429</v>
      </c>
      <c r="O825" s="12">
        <f t="shared" si="176"/>
        <v>0.35943060498220641</v>
      </c>
      <c r="P825" s="12">
        <f t="shared" si="177"/>
        <v>0.11297539149888143</v>
      </c>
      <c r="Q825" s="13">
        <f t="shared" si="169"/>
        <v>40.142857142857146</v>
      </c>
      <c r="R825" s="13">
        <f t="shared" si="170"/>
        <v>14.428571428571427</v>
      </c>
    </row>
    <row r="826" spans="1:18" ht="15.75" customHeight="1" x14ac:dyDescent="0.3">
      <c r="A826" s="7" t="s">
        <v>269</v>
      </c>
      <c r="B826" s="7" t="s">
        <v>36</v>
      </c>
      <c r="C826" s="24" t="s">
        <v>34</v>
      </c>
      <c r="D826" s="24" t="s">
        <v>35</v>
      </c>
      <c r="E826" s="8">
        <v>46184</v>
      </c>
      <c r="F826" s="8">
        <v>46190</v>
      </c>
      <c r="G826" s="9">
        <f t="shared" si="171"/>
        <v>7</v>
      </c>
      <c r="H826" s="10" t="s">
        <v>433</v>
      </c>
      <c r="I826" s="10" t="s">
        <v>433</v>
      </c>
      <c r="J826" s="10" t="s">
        <v>433</v>
      </c>
      <c r="K826" s="11" t="str">
        <f t="shared" si="172"/>
        <v/>
      </c>
      <c r="L826" s="11" t="str">
        <f t="shared" si="173"/>
        <v/>
      </c>
      <c r="M826" s="12" t="str">
        <f t="shared" si="174"/>
        <v/>
      </c>
      <c r="N826" s="11" t="str">
        <f t="shared" si="175"/>
        <v/>
      </c>
      <c r="O826" s="12" t="str">
        <f t="shared" si="176"/>
        <v/>
      </c>
      <c r="P826" s="12" t="str">
        <f t="shared" si="177"/>
        <v/>
      </c>
      <c r="Q826" s="13" t="str">
        <f t="shared" si="169"/>
        <v/>
      </c>
      <c r="R826" s="13" t="str">
        <f t="shared" si="170"/>
        <v/>
      </c>
    </row>
    <row r="827" spans="1:18" ht="15.75" customHeight="1" x14ac:dyDescent="0.3">
      <c r="A827" s="7" t="s">
        <v>269</v>
      </c>
      <c r="B827" s="7" t="s">
        <v>272</v>
      </c>
      <c r="C827" s="24" t="s">
        <v>47</v>
      </c>
      <c r="D827" s="24" t="s">
        <v>48</v>
      </c>
      <c r="E827" s="8">
        <v>46184</v>
      </c>
      <c r="F827" s="8">
        <v>46190</v>
      </c>
      <c r="G827" s="9">
        <f t="shared" si="171"/>
        <v>7</v>
      </c>
      <c r="H827" s="10" t="s">
        <v>433</v>
      </c>
      <c r="I827" s="10" t="s">
        <v>433</v>
      </c>
      <c r="J827" s="10" t="s">
        <v>433</v>
      </c>
      <c r="K827" s="11" t="str">
        <f t="shared" si="172"/>
        <v/>
      </c>
      <c r="L827" s="11" t="str">
        <f t="shared" si="173"/>
        <v/>
      </c>
      <c r="M827" s="12" t="str">
        <f t="shared" si="174"/>
        <v/>
      </c>
      <c r="N827" s="11" t="str">
        <f t="shared" si="175"/>
        <v/>
      </c>
      <c r="O827" s="12" t="str">
        <f t="shared" si="176"/>
        <v/>
      </c>
      <c r="P827" s="12" t="str">
        <f t="shared" si="177"/>
        <v/>
      </c>
      <c r="Q827" s="13" t="str">
        <f t="shared" si="169"/>
        <v/>
      </c>
      <c r="R827" s="13" t="str">
        <f t="shared" si="170"/>
        <v/>
      </c>
    </row>
    <row r="828" spans="1:18" ht="15.75" customHeight="1" x14ac:dyDescent="0.3">
      <c r="A828" s="7" t="s">
        <v>269</v>
      </c>
      <c r="B828" s="7" t="s">
        <v>273</v>
      </c>
      <c r="C828" s="24" t="s">
        <v>47</v>
      </c>
      <c r="D828" s="24" t="s">
        <v>48</v>
      </c>
      <c r="E828" s="8">
        <v>46184</v>
      </c>
      <c r="F828" s="8">
        <v>46190</v>
      </c>
      <c r="G828" s="9">
        <f t="shared" si="171"/>
        <v>7</v>
      </c>
      <c r="H828" s="10" t="s">
        <v>433</v>
      </c>
      <c r="I828" s="10" t="s">
        <v>433</v>
      </c>
      <c r="J828" s="10" t="s">
        <v>433</v>
      </c>
      <c r="K828" s="11" t="str">
        <f t="shared" si="172"/>
        <v/>
      </c>
      <c r="L828" s="11" t="str">
        <f t="shared" si="173"/>
        <v/>
      </c>
      <c r="M828" s="12" t="str">
        <f t="shared" si="174"/>
        <v/>
      </c>
      <c r="N828" s="11" t="str">
        <f t="shared" si="175"/>
        <v/>
      </c>
      <c r="O828" s="12" t="str">
        <f t="shared" si="176"/>
        <v/>
      </c>
      <c r="P828" s="12" t="str">
        <f t="shared" si="177"/>
        <v/>
      </c>
      <c r="Q828" s="13" t="str">
        <f t="shared" si="169"/>
        <v/>
      </c>
      <c r="R828" s="13" t="str">
        <f t="shared" si="170"/>
        <v/>
      </c>
    </row>
    <row r="829" spans="1:18" ht="15.75" customHeight="1" x14ac:dyDescent="0.3">
      <c r="A829" s="7" t="s">
        <v>269</v>
      </c>
      <c r="B829" s="7" t="s">
        <v>274</v>
      </c>
      <c r="C829" s="24" t="s">
        <v>47</v>
      </c>
      <c r="D829" s="24" t="s">
        <v>48</v>
      </c>
      <c r="E829" s="8">
        <v>46184</v>
      </c>
      <c r="F829" s="8">
        <v>46190</v>
      </c>
      <c r="G829" s="9">
        <f t="shared" si="171"/>
        <v>7</v>
      </c>
      <c r="H829" s="10" t="s">
        <v>433</v>
      </c>
      <c r="I829" s="10" t="s">
        <v>433</v>
      </c>
      <c r="J829" s="10" t="s">
        <v>433</v>
      </c>
      <c r="K829" s="11" t="str">
        <f t="shared" si="172"/>
        <v/>
      </c>
      <c r="L829" s="11" t="str">
        <f t="shared" si="173"/>
        <v/>
      </c>
      <c r="M829" s="12" t="str">
        <f t="shared" si="174"/>
        <v/>
      </c>
      <c r="N829" s="11" t="str">
        <f t="shared" si="175"/>
        <v/>
      </c>
      <c r="O829" s="12" t="str">
        <f t="shared" si="176"/>
        <v/>
      </c>
      <c r="P829" s="12" t="str">
        <f t="shared" si="177"/>
        <v/>
      </c>
      <c r="Q829" s="13" t="str">
        <f t="shared" si="169"/>
        <v/>
      </c>
      <c r="R829" s="13" t="str">
        <f t="shared" si="170"/>
        <v/>
      </c>
    </row>
    <row r="830" spans="1:18" ht="15.75" customHeight="1" x14ac:dyDescent="0.3">
      <c r="A830" s="7" t="s">
        <v>269</v>
      </c>
      <c r="B830" s="7" t="s">
        <v>263</v>
      </c>
      <c r="C830" s="24" t="s">
        <v>34</v>
      </c>
      <c r="D830" s="24" t="s">
        <v>35</v>
      </c>
      <c r="E830" s="8">
        <v>46184</v>
      </c>
      <c r="F830" s="8">
        <v>46190</v>
      </c>
      <c r="G830" s="9">
        <f t="shared" si="171"/>
        <v>7</v>
      </c>
      <c r="H830" s="10" t="s">
        <v>433</v>
      </c>
      <c r="I830" s="10" t="s">
        <v>433</v>
      </c>
      <c r="J830" s="10" t="s">
        <v>433</v>
      </c>
      <c r="K830" s="11" t="str">
        <f t="shared" si="172"/>
        <v/>
      </c>
      <c r="L830" s="11" t="str">
        <f t="shared" si="173"/>
        <v/>
      </c>
      <c r="M830" s="12" t="str">
        <f t="shared" si="174"/>
        <v/>
      </c>
      <c r="N830" s="11" t="str">
        <f t="shared" si="175"/>
        <v/>
      </c>
      <c r="O830" s="12" t="str">
        <f t="shared" si="176"/>
        <v/>
      </c>
      <c r="P830" s="12" t="str">
        <f t="shared" si="177"/>
        <v/>
      </c>
      <c r="Q830" s="13" t="str">
        <f t="shared" si="169"/>
        <v/>
      </c>
      <c r="R830" s="13" t="str">
        <f t="shared" si="170"/>
        <v/>
      </c>
    </row>
    <row r="831" spans="1:18" ht="15.75" customHeight="1" x14ac:dyDescent="0.3">
      <c r="A831" s="7" t="s">
        <v>269</v>
      </c>
      <c r="B831" s="7" t="s">
        <v>37</v>
      </c>
      <c r="C831" s="24" t="s">
        <v>34</v>
      </c>
      <c r="D831" s="24" t="s">
        <v>35</v>
      </c>
      <c r="E831" s="8">
        <v>46184</v>
      </c>
      <c r="F831" s="8">
        <v>46190</v>
      </c>
      <c r="G831" s="9">
        <f t="shared" si="171"/>
        <v>7</v>
      </c>
      <c r="H831" s="10">
        <v>33</v>
      </c>
      <c r="I831" s="10">
        <v>9</v>
      </c>
      <c r="J831" s="10">
        <v>5</v>
      </c>
      <c r="K831" s="11">
        <f t="shared" si="172"/>
        <v>4.7142857142857144</v>
      </c>
      <c r="L831" s="11">
        <f t="shared" si="173"/>
        <v>1.2857142857142858</v>
      </c>
      <c r="M831" s="12">
        <f t="shared" si="174"/>
        <v>0.27272727272727271</v>
      </c>
      <c r="N831" s="11">
        <f t="shared" si="175"/>
        <v>0.7142857142857143</v>
      </c>
      <c r="O831" s="12">
        <f t="shared" si="176"/>
        <v>0.55555555555555558</v>
      </c>
      <c r="P831" s="12">
        <f t="shared" si="177"/>
        <v>0.15151515151515152</v>
      </c>
      <c r="Q831" s="13">
        <f t="shared" si="169"/>
        <v>1.2857142857142856</v>
      </c>
      <c r="R831" s="13">
        <f t="shared" si="170"/>
        <v>0.7142857142857143</v>
      </c>
    </row>
    <row r="832" spans="1:18" ht="15.75" customHeight="1" x14ac:dyDescent="0.3">
      <c r="A832" s="7" t="s">
        <v>269</v>
      </c>
      <c r="B832" s="7" t="s">
        <v>207</v>
      </c>
      <c r="C832" s="24" t="s">
        <v>34</v>
      </c>
      <c r="D832" s="24" t="s">
        <v>35</v>
      </c>
      <c r="E832" s="8">
        <v>46184</v>
      </c>
      <c r="F832" s="8">
        <v>46190</v>
      </c>
      <c r="G832" s="9">
        <f t="shared" si="171"/>
        <v>7</v>
      </c>
      <c r="H832" s="10">
        <v>61</v>
      </c>
      <c r="I832" s="10">
        <v>4</v>
      </c>
      <c r="J832" s="10">
        <v>0</v>
      </c>
      <c r="K832" s="11">
        <f t="shared" si="172"/>
        <v>8.7142857142857135</v>
      </c>
      <c r="L832" s="11">
        <f t="shared" si="173"/>
        <v>0.5714285714285714</v>
      </c>
      <c r="M832" s="12">
        <f t="shared" si="174"/>
        <v>6.5573770491803282E-2</v>
      </c>
      <c r="N832" s="11">
        <f t="shared" si="175"/>
        <v>0</v>
      </c>
      <c r="O832" s="12">
        <f t="shared" si="176"/>
        <v>0</v>
      </c>
      <c r="P832" s="12">
        <f t="shared" si="177"/>
        <v>0</v>
      </c>
      <c r="Q832" s="13">
        <f t="shared" si="169"/>
        <v>0.5714285714285714</v>
      </c>
      <c r="R832" s="13">
        <f t="shared" si="170"/>
        <v>0</v>
      </c>
    </row>
    <row r="833" spans="1:18" ht="15.75" customHeight="1" x14ac:dyDescent="0.3">
      <c r="A833" s="7" t="s">
        <v>269</v>
      </c>
      <c r="B833" s="7" t="s">
        <v>264</v>
      </c>
      <c r="C833" s="24" t="s">
        <v>34</v>
      </c>
      <c r="D833" s="24" t="s">
        <v>91</v>
      </c>
      <c r="E833" s="8">
        <v>46184</v>
      </c>
      <c r="F833" s="8">
        <v>46190</v>
      </c>
      <c r="G833" s="9">
        <f t="shared" si="171"/>
        <v>7</v>
      </c>
      <c r="H833" s="10">
        <v>103</v>
      </c>
      <c r="I833" s="10">
        <v>24</v>
      </c>
      <c r="J833" s="10">
        <v>8</v>
      </c>
      <c r="K833" s="11">
        <f t="shared" si="172"/>
        <v>14.714285714285714</v>
      </c>
      <c r="L833" s="11">
        <f t="shared" si="173"/>
        <v>3.4285714285714284</v>
      </c>
      <c r="M833" s="12">
        <f t="shared" si="174"/>
        <v>0.23300970873786409</v>
      </c>
      <c r="N833" s="11">
        <f t="shared" si="175"/>
        <v>1.1428571428571428</v>
      </c>
      <c r="O833" s="12">
        <f t="shared" si="176"/>
        <v>0.33333333333333331</v>
      </c>
      <c r="P833" s="12">
        <f t="shared" si="177"/>
        <v>7.7669902912621352E-2</v>
      </c>
      <c r="Q833" s="13">
        <f t="shared" si="169"/>
        <v>3.4285714285714284</v>
      </c>
      <c r="R833" s="13">
        <f t="shared" si="170"/>
        <v>1.1428571428571428</v>
      </c>
    </row>
    <row r="834" spans="1:18" ht="15.75" customHeight="1" x14ac:dyDescent="0.3">
      <c r="A834" s="7" t="s">
        <v>269</v>
      </c>
      <c r="B834" s="7" t="s">
        <v>226</v>
      </c>
      <c r="C834" s="24" t="s">
        <v>34</v>
      </c>
      <c r="D834" s="24" t="s">
        <v>91</v>
      </c>
      <c r="E834" s="8">
        <v>46184</v>
      </c>
      <c r="F834" s="8">
        <v>46190</v>
      </c>
      <c r="G834" s="9">
        <f t="shared" si="171"/>
        <v>7</v>
      </c>
      <c r="H834" s="10">
        <v>33</v>
      </c>
      <c r="I834" s="10">
        <v>9</v>
      </c>
      <c r="J834" s="10">
        <v>0</v>
      </c>
      <c r="K834" s="11">
        <f t="shared" si="172"/>
        <v>4.7142857142857144</v>
      </c>
      <c r="L834" s="11">
        <f t="shared" si="173"/>
        <v>1.2857142857142858</v>
      </c>
      <c r="M834" s="12">
        <f t="shared" si="174"/>
        <v>0.27272727272727271</v>
      </c>
      <c r="N834" s="11">
        <f t="shared" si="175"/>
        <v>0</v>
      </c>
      <c r="O834" s="12">
        <f t="shared" si="176"/>
        <v>0</v>
      </c>
      <c r="P834" s="12">
        <f t="shared" si="177"/>
        <v>0</v>
      </c>
      <c r="Q834" s="13">
        <f t="shared" si="169"/>
        <v>1.2857142857142856</v>
      </c>
      <c r="R834" s="13">
        <f t="shared" si="170"/>
        <v>0</v>
      </c>
    </row>
    <row r="835" spans="1:18" ht="15.75" customHeight="1" x14ac:dyDescent="0.3">
      <c r="A835" s="7" t="s">
        <v>269</v>
      </c>
      <c r="B835" s="7" t="s">
        <v>38</v>
      </c>
      <c r="C835" s="24" t="s">
        <v>34</v>
      </c>
      <c r="D835" s="24" t="s">
        <v>39</v>
      </c>
      <c r="E835" s="8">
        <v>46184</v>
      </c>
      <c r="F835" s="8">
        <v>46190</v>
      </c>
      <c r="G835" s="9">
        <f t="shared" si="171"/>
        <v>7</v>
      </c>
      <c r="H835" s="10">
        <v>335</v>
      </c>
      <c r="I835" s="10">
        <v>23</v>
      </c>
      <c r="J835" s="10">
        <v>12</v>
      </c>
      <c r="K835" s="11">
        <f t="shared" si="172"/>
        <v>47.857142857142854</v>
      </c>
      <c r="L835" s="11">
        <f t="shared" si="173"/>
        <v>3.2857142857142856</v>
      </c>
      <c r="M835" s="12">
        <f t="shared" si="174"/>
        <v>6.8656716417910449E-2</v>
      </c>
      <c r="N835" s="11">
        <f t="shared" si="175"/>
        <v>1.7142857142857142</v>
      </c>
      <c r="O835" s="12">
        <f t="shared" si="176"/>
        <v>0.52173913043478259</v>
      </c>
      <c r="P835" s="12">
        <f t="shared" si="177"/>
        <v>3.5820895522388062E-2</v>
      </c>
      <c r="Q835" s="13">
        <f t="shared" si="169"/>
        <v>3.2857142857142856</v>
      </c>
      <c r="R835" s="13">
        <f t="shared" si="170"/>
        <v>1.7142857142857142</v>
      </c>
    </row>
    <row r="836" spans="1:18" ht="15.75" customHeight="1" x14ac:dyDescent="0.3">
      <c r="A836" s="7" t="s">
        <v>269</v>
      </c>
      <c r="B836" s="7" t="s">
        <v>40</v>
      </c>
      <c r="C836" s="24" t="s">
        <v>34</v>
      </c>
      <c r="D836" s="24" t="s">
        <v>39</v>
      </c>
      <c r="E836" s="8">
        <v>46184</v>
      </c>
      <c r="F836" s="8">
        <v>46190</v>
      </c>
      <c r="G836" s="9">
        <f t="shared" si="171"/>
        <v>7</v>
      </c>
      <c r="H836" s="10">
        <v>0</v>
      </c>
      <c r="I836" s="10">
        <v>0</v>
      </c>
      <c r="J836" s="10">
        <v>0</v>
      </c>
      <c r="K836" s="11">
        <f t="shared" si="172"/>
        <v>0</v>
      </c>
      <c r="L836" s="11">
        <f t="shared" si="173"/>
        <v>0</v>
      </c>
      <c r="M836" s="12" t="str">
        <f t="shared" si="174"/>
        <v/>
      </c>
      <c r="N836" s="11">
        <f t="shared" si="175"/>
        <v>0</v>
      </c>
      <c r="O836" s="12" t="str">
        <f t="shared" si="176"/>
        <v/>
      </c>
      <c r="P836" s="12" t="str">
        <f t="shared" si="177"/>
        <v/>
      </c>
      <c r="Q836" s="13" t="str">
        <f t="shared" si="169"/>
        <v/>
      </c>
      <c r="R836" s="13" t="str">
        <f t="shared" si="170"/>
        <v/>
      </c>
    </row>
    <row r="837" spans="1:18" ht="15.75" customHeight="1" x14ac:dyDescent="0.3">
      <c r="A837" s="7" t="s">
        <v>269</v>
      </c>
      <c r="B837" s="7" t="s">
        <v>219</v>
      </c>
      <c r="C837" s="24" t="s">
        <v>34</v>
      </c>
      <c r="D837" s="24" t="s">
        <v>445</v>
      </c>
      <c r="E837" s="8">
        <v>46184</v>
      </c>
      <c r="F837" s="8">
        <v>46190</v>
      </c>
      <c r="G837" s="9">
        <f t="shared" si="171"/>
        <v>7</v>
      </c>
      <c r="H837" s="10">
        <v>187</v>
      </c>
      <c r="I837" s="10">
        <v>21</v>
      </c>
      <c r="J837" s="10">
        <v>7</v>
      </c>
      <c r="K837" s="11">
        <f t="shared" si="172"/>
        <v>26.714285714285715</v>
      </c>
      <c r="L837" s="11">
        <f t="shared" si="173"/>
        <v>3</v>
      </c>
      <c r="M837" s="12">
        <f t="shared" si="174"/>
        <v>0.11229946524064172</v>
      </c>
      <c r="N837" s="11">
        <f t="shared" si="175"/>
        <v>1</v>
      </c>
      <c r="O837" s="12">
        <f t="shared" si="176"/>
        <v>0.33333333333333331</v>
      </c>
      <c r="P837" s="12">
        <f t="shared" si="177"/>
        <v>3.7433155080213901E-2</v>
      </c>
      <c r="Q837" s="13">
        <f t="shared" si="169"/>
        <v>3.0000000000000004</v>
      </c>
      <c r="R837" s="13">
        <f t="shared" si="170"/>
        <v>1</v>
      </c>
    </row>
    <row r="838" spans="1:18" ht="15.75" customHeight="1" x14ac:dyDescent="0.3">
      <c r="A838" s="7" t="s">
        <v>269</v>
      </c>
      <c r="B838" s="7" t="s">
        <v>265</v>
      </c>
      <c r="C838" s="24" t="s">
        <v>34</v>
      </c>
      <c r="D838" s="24" t="s">
        <v>44</v>
      </c>
      <c r="E838" s="8">
        <v>46184</v>
      </c>
      <c r="F838" s="8">
        <v>46190</v>
      </c>
      <c r="G838" s="9">
        <f t="shared" si="171"/>
        <v>7</v>
      </c>
      <c r="H838" s="10">
        <v>53</v>
      </c>
      <c r="I838" s="10">
        <v>13</v>
      </c>
      <c r="J838" s="10">
        <v>2</v>
      </c>
      <c r="K838" s="11">
        <f t="shared" si="172"/>
        <v>7.5714285714285712</v>
      </c>
      <c r="L838" s="11">
        <f t="shared" si="173"/>
        <v>1.8571428571428572</v>
      </c>
      <c r="M838" s="12">
        <f t="shared" si="174"/>
        <v>0.24528301886792453</v>
      </c>
      <c r="N838" s="11">
        <f t="shared" si="175"/>
        <v>0.2857142857142857</v>
      </c>
      <c r="O838" s="12">
        <f t="shared" si="176"/>
        <v>0.15384615384615385</v>
      </c>
      <c r="P838" s="12">
        <f t="shared" si="177"/>
        <v>3.7735849056603772E-2</v>
      </c>
      <c r="Q838" s="13">
        <f t="shared" si="169"/>
        <v>1.857142857142857</v>
      </c>
      <c r="R838" s="13">
        <f t="shared" si="170"/>
        <v>0.2857142857142857</v>
      </c>
    </row>
    <row r="839" spans="1:18" ht="15.75" customHeight="1" x14ac:dyDescent="0.3">
      <c r="A839" s="7" t="s">
        <v>269</v>
      </c>
      <c r="B839" s="7" t="s">
        <v>93</v>
      </c>
      <c r="C839" s="24" t="s">
        <v>47</v>
      </c>
      <c r="D839" s="24" t="s">
        <v>48</v>
      </c>
      <c r="E839" s="8">
        <v>46184</v>
      </c>
      <c r="F839" s="8">
        <v>46190</v>
      </c>
      <c r="G839" s="9">
        <f t="shared" si="171"/>
        <v>7</v>
      </c>
      <c r="H839" s="10">
        <v>124</v>
      </c>
      <c r="I839" s="10">
        <v>41</v>
      </c>
      <c r="J839" s="10">
        <v>14</v>
      </c>
      <c r="K839" s="11">
        <f t="shared" si="172"/>
        <v>17.714285714285715</v>
      </c>
      <c r="L839" s="11">
        <f t="shared" si="173"/>
        <v>5.8571428571428568</v>
      </c>
      <c r="M839" s="12">
        <f t="shared" si="174"/>
        <v>0.33064516129032256</v>
      </c>
      <c r="N839" s="11">
        <f t="shared" si="175"/>
        <v>2</v>
      </c>
      <c r="O839" s="12">
        <f t="shared" si="176"/>
        <v>0.34146341463414637</v>
      </c>
      <c r="P839" s="12">
        <f t="shared" si="177"/>
        <v>0.11290322580645161</v>
      </c>
      <c r="Q839" s="13">
        <f t="shared" si="169"/>
        <v>5.8571428571428568</v>
      </c>
      <c r="R839" s="13">
        <f t="shared" si="170"/>
        <v>2</v>
      </c>
    </row>
    <row r="840" spans="1:18" ht="15.75" customHeight="1" x14ac:dyDescent="0.3">
      <c r="A840" s="7" t="s">
        <v>269</v>
      </c>
      <c r="B840" s="7" t="s">
        <v>94</v>
      </c>
      <c r="C840" s="24" t="s">
        <v>47</v>
      </c>
      <c r="D840" s="24" t="s">
        <v>48</v>
      </c>
      <c r="E840" s="8">
        <v>46184</v>
      </c>
      <c r="F840" s="8">
        <v>46190</v>
      </c>
      <c r="G840" s="9">
        <f t="shared" si="171"/>
        <v>7</v>
      </c>
      <c r="H840" s="10">
        <v>16</v>
      </c>
      <c r="I840" s="10">
        <v>3</v>
      </c>
      <c r="J840" s="10">
        <v>0</v>
      </c>
      <c r="K840" s="11">
        <f t="shared" si="172"/>
        <v>2.2857142857142856</v>
      </c>
      <c r="L840" s="11">
        <f t="shared" si="173"/>
        <v>0.42857142857142855</v>
      </c>
      <c r="M840" s="12">
        <f t="shared" si="174"/>
        <v>0.1875</v>
      </c>
      <c r="N840" s="11">
        <f t="shared" si="175"/>
        <v>0</v>
      </c>
      <c r="O840" s="12">
        <f t="shared" si="176"/>
        <v>0</v>
      </c>
      <c r="P840" s="12">
        <f t="shared" si="177"/>
        <v>0</v>
      </c>
      <c r="Q840" s="13">
        <f t="shared" si="169"/>
        <v>0.42857142857142855</v>
      </c>
      <c r="R840" s="13">
        <f t="shared" si="170"/>
        <v>0</v>
      </c>
    </row>
    <row r="841" spans="1:18" ht="15.75" customHeight="1" x14ac:dyDescent="0.3">
      <c r="A841" s="7" t="s">
        <v>269</v>
      </c>
      <c r="B841" s="7" t="s">
        <v>119</v>
      </c>
      <c r="C841" s="24" t="s">
        <v>47</v>
      </c>
      <c r="D841" s="24" t="s">
        <v>48</v>
      </c>
      <c r="E841" s="8">
        <v>46184</v>
      </c>
      <c r="F841" s="8">
        <v>46190</v>
      </c>
      <c r="G841" s="9">
        <f t="shared" si="171"/>
        <v>7</v>
      </c>
      <c r="H841" s="10">
        <v>251</v>
      </c>
      <c r="I841" s="10">
        <v>74</v>
      </c>
      <c r="J841" s="10">
        <v>20</v>
      </c>
      <c r="K841" s="11">
        <f t="shared" si="172"/>
        <v>35.857142857142854</v>
      </c>
      <c r="L841" s="11">
        <f t="shared" si="173"/>
        <v>10.571428571428571</v>
      </c>
      <c r="M841" s="12">
        <f t="shared" si="174"/>
        <v>0.29482071713147412</v>
      </c>
      <c r="N841" s="11">
        <f t="shared" si="175"/>
        <v>2.8571428571428572</v>
      </c>
      <c r="O841" s="12">
        <f t="shared" si="176"/>
        <v>0.27027027027027029</v>
      </c>
      <c r="P841" s="12">
        <f t="shared" si="177"/>
        <v>7.9681274900398405E-2</v>
      </c>
      <c r="Q841" s="13">
        <f t="shared" si="169"/>
        <v>10.571428571428571</v>
      </c>
      <c r="R841" s="13">
        <f t="shared" si="170"/>
        <v>2.8571428571428568</v>
      </c>
    </row>
    <row r="842" spans="1:18" ht="15.75" customHeight="1" x14ac:dyDescent="0.3">
      <c r="A842" s="7" t="s">
        <v>269</v>
      </c>
      <c r="B842" s="7" t="s">
        <v>120</v>
      </c>
      <c r="C842" s="24" t="s">
        <v>47</v>
      </c>
      <c r="D842" s="24" t="s">
        <v>48</v>
      </c>
      <c r="E842" s="8">
        <v>46184</v>
      </c>
      <c r="F842" s="8">
        <v>46190</v>
      </c>
      <c r="G842" s="9">
        <f t="shared" si="171"/>
        <v>7</v>
      </c>
      <c r="H842" s="10">
        <v>15</v>
      </c>
      <c r="I842" s="10">
        <v>1</v>
      </c>
      <c r="J842" s="10">
        <v>0</v>
      </c>
      <c r="K842" s="11">
        <f t="shared" si="172"/>
        <v>2.1428571428571428</v>
      </c>
      <c r="L842" s="11">
        <f t="shared" si="173"/>
        <v>0.14285714285714285</v>
      </c>
      <c r="M842" s="12">
        <f t="shared" si="174"/>
        <v>6.6666666666666666E-2</v>
      </c>
      <c r="N842" s="11">
        <f t="shared" si="175"/>
        <v>0</v>
      </c>
      <c r="O842" s="12">
        <f t="shared" si="176"/>
        <v>0</v>
      </c>
      <c r="P842" s="12">
        <f t="shared" si="177"/>
        <v>0</v>
      </c>
      <c r="Q842" s="13">
        <f t="shared" si="169"/>
        <v>0.14285714285714285</v>
      </c>
      <c r="R842" s="13">
        <f t="shared" si="170"/>
        <v>0</v>
      </c>
    </row>
    <row r="843" spans="1:18" ht="15.75" customHeight="1" x14ac:dyDescent="0.3">
      <c r="A843" s="7" t="s">
        <v>269</v>
      </c>
      <c r="B843" s="7" t="s">
        <v>97</v>
      </c>
      <c r="C843" s="24" t="s">
        <v>47</v>
      </c>
      <c r="D843" s="24" t="s">
        <v>53</v>
      </c>
      <c r="E843" s="8">
        <v>46184</v>
      </c>
      <c r="F843" s="8">
        <v>46190</v>
      </c>
      <c r="G843" s="9">
        <f t="shared" si="171"/>
        <v>7</v>
      </c>
      <c r="H843" s="10">
        <v>196</v>
      </c>
      <c r="I843" s="10">
        <v>69</v>
      </c>
      <c r="J843" s="10">
        <v>20</v>
      </c>
      <c r="K843" s="11">
        <f t="shared" si="172"/>
        <v>28</v>
      </c>
      <c r="L843" s="11">
        <f t="shared" si="173"/>
        <v>9.8571428571428577</v>
      </c>
      <c r="M843" s="12">
        <f t="shared" si="174"/>
        <v>0.35204081632653061</v>
      </c>
      <c r="N843" s="11">
        <f t="shared" si="175"/>
        <v>2.8571428571428572</v>
      </c>
      <c r="O843" s="12">
        <f t="shared" si="176"/>
        <v>0.28985507246376813</v>
      </c>
      <c r="P843" s="12">
        <f t="shared" si="177"/>
        <v>0.10204081632653061</v>
      </c>
      <c r="Q843" s="13">
        <f t="shared" si="169"/>
        <v>9.8571428571428577</v>
      </c>
      <c r="R843" s="13">
        <f t="shared" si="170"/>
        <v>2.8571428571428572</v>
      </c>
    </row>
    <row r="844" spans="1:18" ht="15.75" customHeight="1" x14ac:dyDescent="0.3">
      <c r="A844" s="7" t="s">
        <v>269</v>
      </c>
      <c r="B844" s="7" t="s">
        <v>146</v>
      </c>
      <c r="C844" s="24" t="s">
        <v>443</v>
      </c>
      <c r="D844" s="24" t="s">
        <v>147</v>
      </c>
      <c r="E844" s="8">
        <v>46184</v>
      </c>
      <c r="F844" s="8">
        <v>46190</v>
      </c>
      <c r="G844" s="9">
        <f t="shared" si="171"/>
        <v>7</v>
      </c>
      <c r="H844" s="10">
        <v>563</v>
      </c>
      <c r="I844" s="10">
        <v>117</v>
      </c>
      <c r="J844" s="10">
        <v>25</v>
      </c>
      <c r="K844" s="11">
        <f t="shared" si="172"/>
        <v>80.428571428571431</v>
      </c>
      <c r="L844" s="11">
        <f t="shared" si="173"/>
        <v>16.714285714285715</v>
      </c>
      <c r="M844" s="12">
        <f t="shared" si="174"/>
        <v>0.20781527531083482</v>
      </c>
      <c r="N844" s="11">
        <f t="shared" si="175"/>
        <v>3.5714285714285716</v>
      </c>
      <c r="O844" s="12">
        <f t="shared" si="176"/>
        <v>0.21367521367521367</v>
      </c>
      <c r="P844" s="12">
        <f t="shared" si="177"/>
        <v>4.4404973357015987E-2</v>
      </c>
      <c r="Q844" s="13">
        <f t="shared" si="169"/>
        <v>16.714285714285715</v>
      </c>
      <c r="R844" s="13">
        <f t="shared" si="170"/>
        <v>3.5714285714285716</v>
      </c>
    </row>
    <row r="845" spans="1:18" ht="15.75" customHeight="1" x14ac:dyDescent="0.3">
      <c r="A845" s="7" t="s">
        <v>269</v>
      </c>
      <c r="B845" s="7" t="s">
        <v>125</v>
      </c>
      <c r="C845" s="24" t="s">
        <v>58</v>
      </c>
      <c r="D845" s="24" t="s">
        <v>103</v>
      </c>
      <c r="E845" s="8">
        <v>46184</v>
      </c>
      <c r="F845" s="8">
        <v>46190</v>
      </c>
      <c r="G845" s="9">
        <f t="shared" si="171"/>
        <v>7</v>
      </c>
      <c r="H845" s="10">
        <v>454</v>
      </c>
      <c r="I845" s="10">
        <v>100</v>
      </c>
      <c r="J845" s="10">
        <v>25</v>
      </c>
      <c r="K845" s="11">
        <f t="shared" si="172"/>
        <v>64.857142857142861</v>
      </c>
      <c r="L845" s="11">
        <f t="shared" si="173"/>
        <v>14.285714285714286</v>
      </c>
      <c r="M845" s="12">
        <f t="shared" si="174"/>
        <v>0.22026431718061673</v>
      </c>
      <c r="N845" s="11">
        <f t="shared" si="175"/>
        <v>3.5714285714285716</v>
      </c>
      <c r="O845" s="12">
        <f t="shared" si="176"/>
        <v>0.25</v>
      </c>
      <c r="P845" s="12">
        <f t="shared" si="177"/>
        <v>5.5066079295154183E-2</v>
      </c>
      <c r="Q845" s="13">
        <f t="shared" si="169"/>
        <v>14.285714285714286</v>
      </c>
      <c r="R845" s="13">
        <f t="shared" si="170"/>
        <v>3.5714285714285716</v>
      </c>
    </row>
    <row r="846" spans="1:18" ht="15.75" customHeight="1" x14ac:dyDescent="0.3">
      <c r="A846" s="7" t="s">
        <v>269</v>
      </c>
      <c r="B846" s="7" t="s">
        <v>244</v>
      </c>
      <c r="C846" s="24" t="s">
        <v>58</v>
      </c>
      <c r="D846" s="24" t="s">
        <v>103</v>
      </c>
      <c r="E846" s="8">
        <v>46184</v>
      </c>
      <c r="F846" s="8">
        <v>46190</v>
      </c>
      <c r="G846" s="9">
        <f t="shared" si="171"/>
        <v>7</v>
      </c>
      <c r="H846" s="10">
        <v>93</v>
      </c>
      <c r="I846" s="10">
        <v>11</v>
      </c>
      <c r="J846" s="10">
        <v>1</v>
      </c>
      <c r="K846" s="11">
        <f t="shared" si="172"/>
        <v>13.285714285714286</v>
      </c>
      <c r="L846" s="11">
        <f t="shared" si="173"/>
        <v>1.5714285714285714</v>
      </c>
      <c r="M846" s="12">
        <f t="shared" si="174"/>
        <v>0.11827956989247312</v>
      </c>
      <c r="N846" s="11">
        <f t="shared" si="175"/>
        <v>0.14285714285714285</v>
      </c>
      <c r="O846" s="12">
        <f t="shared" si="176"/>
        <v>9.0909090909090912E-2</v>
      </c>
      <c r="P846" s="12">
        <f t="shared" si="177"/>
        <v>1.0752688172043012E-2</v>
      </c>
      <c r="Q846" s="13">
        <f t="shared" si="169"/>
        <v>1.5714285714285716</v>
      </c>
      <c r="R846" s="13">
        <f t="shared" si="170"/>
        <v>0.14285714285714288</v>
      </c>
    </row>
    <row r="847" spans="1:18" ht="15.75" customHeight="1" x14ac:dyDescent="0.3">
      <c r="A847" s="7" t="s">
        <v>269</v>
      </c>
      <c r="B847" s="7" t="s">
        <v>223</v>
      </c>
      <c r="C847" s="24" t="s">
        <v>58</v>
      </c>
      <c r="D847" s="24" t="s">
        <v>64</v>
      </c>
      <c r="E847" s="8">
        <v>46184</v>
      </c>
      <c r="F847" s="8">
        <v>46190</v>
      </c>
      <c r="G847" s="9">
        <f t="shared" si="171"/>
        <v>7</v>
      </c>
      <c r="H847" s="10">
        <v>67</v>
      </c>
      <c r="I847" s="10">
        <v>31</v>
      </c>
      <c r="J847" s="10">
        <v>7</v>
      </c>
      <c r="K847" s="11">
        <f t="shared" si="172"/>
        <v>9.5714285714285712</v>
      </c>
      <c r="L847" s="11">
        <f t="shared" si="173"/>
        <v>4.4285714285714288</v>
      </c>
      <c r="M847" s="12">
        <f t="shared" si="174"/>
        <v>0.46268656716417911</v>
      </c>
      <c r="N847" s="11">
        <f t="shared" si="175"/>
        <v>1</v>
      </c>
      <c r="O847" s="12">
        <f t="shared" si="176"/>
        <v>0.22580645161290322</v>
      </c>
      <c r="P847" s="12">
        <f t="shared" si="177"/>
        <v>0.1044776119402985</v>
      </c>
      <c r="Q847" s="13">
        <f t="shared" si="169"/>
        <v>4.4285714285714288</v>
      </c>
      <c r="R847" s="13">
        <f t="shared" si="170"/>
        <v>0.99999999999999989</v>
      </c>
    </row>
    <row r="848" spans="1:18" ht="15.75" customHeight="1" x14ac:dyDescent="0.3">
      <c r="A848" s="7" t="s">
        <v>269</v>
      </c>
      <c r="B848" s="7" t="s">
        <v>200</v>
      </c>
      <c r="C848" s="24" t="s">
        <v>58</v>
      </c>
      <c r="D848" s="24" t="s">
        <v>66</v>
      </c>
      <c r="E848" s="8">
        <v>46184</v>
      </c>
      <c r="F848" s="8">
        <v>46190</v>
      </c>
      <c r="G848" s="9">
        <f t="shared" si="171"/>
        <v>7</v>
      </c>
      <c r="H848" s="10">
        <v>95</v>
      </c>
      <c r="I848" s="10">
        <v>17</v>
      </c>
      <c r="J848" s="10">
        <v>3</v>
      </c>
      <c r="K848" s="11">
        <f t="shared" si="172"/>
        <v>13.571428571428571</v>
      </c>
      <c r="L848" s="11">
        <f t="shared" si="173"/>
        <v>2.4285714285714284</v>
      </c>
      <c r="M848" s="12">
        <f t="shared" si="174"/>
        <v>0.17894736842105263</v>
      </c>
      <c r="N848" s="11">
        <f t="shared" si="175"/>
        <v>0.42857142857142855</v>
      </c>
      <c r="O848" s="12">
        <f t="shared" si="176"/>
        <v>0.17647058823529413</v>
      </c>
      <c r="P848" s="12">
        <f t="shared" si="177"/>
        <v>3.1578947368421054E-2</v>
      </c>
      <c r="Q848" s="13">
        <f t="shared" si="169"/>
        <v>2.4285714285714284</v>
      </c>
      <c r="R848" s="13">
        <f t="shared" si="170"/>
        <v>0.4285714285714286</v>
      </c>
    </row>
    <row r="849" spans="1:18" ht="15.75" customHeight="1" x14ac:dyDescent="0.3">
      <c r="A849" s="7" t="s">
        <v>269</v>
      </c>
      <c r="B849" s="7" t="s">
        <v>201</v>
      </c>
      <c r="C849" s="24" t="s">
        <v>58</v>
      </c>
      <c r="D849" s="24" t="s">
        <v>68</v>
      </c>
      <c r="E849" s="8">
        <v>46184</v>
      </c>
      <c r="F849" s="8">
        <v>46190</v>
      </c>
      <c r="G849" s="9">
        <f t="shared" si="171"/>
        <v>7</v>
      </c>
      <c r="H849" s="10">
        <v>53</v>
      </c>
      <c r="I849" s="10">
        <v>23</v>
      </c>
      <c r="J849" s="10">
        <v>5</v>
      </c>
      <c r="K849" s="11">
        <f t="shared" si="172"/>
        <v>7.5714285714285712</v>
      </c>
      <c r="L849" s="11">
        <f t="shared" si="173"/>
        <v>3.2857142857142856</v>
      </c>
      <c r="M849" s="12">
        <f t="shared" si="174"/>
        <v>0.43396226415094341</v>
      </c>
      <c r="N849" s="11">
        <f t="shared" si="175"/>
        <v>0.7142857142857143</v>
      </c>
      <c r="O849" s="12">
        <f t="shared" si="176"/>
        <v>0.21739130434782608</v>
      </c>
      <c r="P849" s="12">
        <f t="shared" si="177"/>
        <v>9.4339622641509441E-2</v>
      </c>
      <c r="Q849" s="13">
        <f t="shared" si="169"/>
        <v>3.2857142857142856</v>
      </c>
      <c r="R849" s="13">
        <f t="shared" si="170"/>
        <v>0.7142857142857143</v>
      </c>
    </row>
    <row r="850" spans="1:18" ht="15.75" customHeight="1" x14ac:dyDescent="0.3">
      <c r="A850" s="7" t="s">
        <v>269</v>
      </c>
      <c r="B850" s="7" t="s">
        <v>266</v>
      </c>
      <c r="C850" s="24" t="s">
        <v>58</v>
      </c>
      <c r="D850" s="24" t="s">
        <v>66</v>
      </c>
      <c r="E850" s="8">
        <v>46184</v>
      </c>
      <c r="F850" s="8">
        <v>46190</v>
      </c>
      <c r="G850" s="9">
        <f t="shared" si="171"/>
        <v>7</v>
      </c>
      <c r="H850" s="10">
        <v>85</v>
      </c>
      <c r="I850" s="10">
        <v>23</v>
      </c>
      <c r="J850" s="10">
        <v>0</v>
      </c>
      <c r="K850" s="11">
        <f t="shared" si="172"/>
        <v>12.142857142857142</v>
      </c>
      <c r="L850" s="11">
        <f t="shared" si="173"/>
        <v>3.2857142857142856</v>
      </c>
      <c r="M850" s="12">
        <f t="shared" si="174"/>
        <v>0.27058823529411763</v>
      </c>
      <c r="N850" s="11">
        <f t="shared" si="175"/>
        <v>0</v>
      </c>
      <c r="O850" s="12">
        <f t="shared" si="176"/>
        <v>0</v>
      </c>
      <c r="P850" s="12">
        <f t="shared" si="177"/>
        <v>0</v>
      </c>
      <c r="Q850" s="13">
        <f t="shared" si="169"/>
        <v>3.2857142857142851</v>
      </c>
      <c r="R850" s="13">
        <f t="shared" si="170"/>
        <v>0</v>
      </c>
    </row>
    <row r="851" spans="1:18" ht="15.75" customHeight="1" x14ac:dyDescent="0.3">
      <c r="A851" s="7" t="s">
        <v>269</v>
      </c>
      <c r="B851" s="7" t="s">
        <v>73</v>
      </c>
      <c r="C851" s="24" t="s">
        <v>58</v>
      </c>
      <c r="D851" s="24" t="s">
        <v>74</v>
      </c>
      <c r="E851" s="8">
        <v>46184</v>
      </c>
      <c r="F851" s="8">
        <v>46190</v>
      </c>
      <c r="G851" s="9">
        <f t="shared" si="171"/>
        <v>7</v>
      </c>
      <c r="H851" s="10">
        <v>90</v>
      </c>
      <c r="I851" s="10">
        <v>28</v>
      </c>
      <c r="J851" s="10">
        <v>7</v>
      </c>
      <c r="K851" s="11">
        <f t="shared" si="172"/>
        <v>12.857142857142858</v>
      </c>
      <c r="L851" s="11">
        <f t="shared" si="173"/>
        <v>4</v>
      </c>
      <c r="M851" s="12">
        <f t="shared" si="174"/>
        <v>0.31111111111111112</v>
      </c>
      <c r="N851" s="11">
        <f t="shared" si="175"/>
        <v>1</v>
      </c>
      <c r="O851" s="12">
        <f t="shared" si="176"/>
        <v>0.25</v>
      </c>
      <c r="P851" s="12">
        <f t="shared" si="177"/>
        <v>7.7777777777777779E-2</v>
      </c>
      <c r="Q851" s="13">
        <f t="shared" si="169"/>
        <v>4</v>
      </c>
      <c r="R851" s="13">
        <f t="shared" si="170"/>
        <v>1</v>
      </c>
    </row>
    <row r="852" spans="1:18" ht="15.75" customHeight="1" x14ac:dyDescent="0.3">
      <c r="A852" s="7" t="s">
        <v>269</v>
      </c>
      <c r="B852" s="7" t="s">
        <v>75</v>
      </c>
      <c r="C852" s="24" t="s">
        <v>58</v>
      </c>
      <c r="D852" s="24" t="s">
        <v>74</v>
      </c>
      <c r="E852" s="8">
        <v>46184</v>
      </c>
      <c r="F852" s="8">
        <v>46190</v>
      </c>
      <c r="G852" s="9">
        <f t="shared" si="171"/>
        <v>7</v>
      </c>
      <c r="H852" s="10">
        <v>91</v>
      </c>
      <c r="I852" s="10">
        <v>35</v>
      </c>
      <c r="J852" s="10">
        <v>15</v>
      </c>
      <c r="K852" s="11">
        <f t="shared" si="172"/>
        <v>13</v>
      </c>
      <c r="L852" s="11">
        <f t="shared" si="173"/>
        <v>5</v>
      </c>
      <c r="M852" s="12">
        <f t="shared" si="174"/>
        <v>0.38461538461538464</v>
      </c>
      <c r="N852" s="11">
        <f t="shared" si="175"/>
        <v>2.1428571428571428</v>
      </c>
      <c r="O852" s="12">
        <f t="shared" si="176"/>
        <v>0.42857142857142855</v>
      </c>
      <c r="P852" s="12">
        <f t="shared" si="177"/>
        <v>0.16483516483516483</v>
      </c>
      <c r="Q852" s="13">
        <f t="shared" si="169"/>
        <v>5</v>
      </c>
      <c r="R852" s="13">
        <f t="shared" si="170"/>
        <v>2.1428571428571428</v>
      </c>
    </row>
    <row r="853" spans="1:18" ht="15.75" customHeight="1" x14ac:dyDescent="0.3">
      <c r="A853" s="7" t="s">
        <v>269</v>
      </c>
      <c r="B853" s="7" t="s">
        <v>180</v>
      </c>
      <c r="C853" s="24" t="s">
        <v>58</v>
      </c>
      <c r="D853" s="24" t="s">
        <v>59</v>
      </c>
      <c r="E853" s="8">
        <v>46184</v>
      </c>
      <c r="F853" s="8">
        <v>46190</v>
      </c>
      <c r="G853" s="9">
        <f t="shared" si="171"/>
        <v>7</v>
      </c>
      <c r="H853" s="10">
        <v>147</v>
      </c>
      <c r="I853" s="10">
        <v>52</v>
      </c>
      <c r="J853" s="10">
        <v>10</v>
      </c>
      <c r="K853" s="11">
        <f t="shared" si="172"/>
        <v>21</v>
      </c>
      <c r="L853" s="11">
        <f t="shared" si="173"/>
        <v>7.4285714285714288</v>
      </c>
      <c r="M853" s="12">
        <f t="shared" si="174"/>
        <v>0.35374149659863946</v>
      </c>
      <c r="N853" s="11">
        <f t="shared" si="175"/>
        <v>1.4285714285714286</v>
      </c>
      <c r="O853" s="12">
        <f t="shared" si="176"/>
        <v>0.19230769230769232</v>
      </c>
      <c r="P853" s="12">
        <f t="shared" si="177"/>
        <v>6.8027210884353748E-2</v>
      </c>
      <c r="Q853" s="13">
        <f t="shared" si="169"/>
        <v>7.4285714285714288</v>
      </c>
      <c r="R853" s="13">
        <f t="shared" si="170"/>
        <v>1.4285714285714286</v>
      </c>
    </row>
    <row r="854" spans="1:18" ht="15.75" customHeight="1" x14ac:dyDescent="0.3">
      <c r="A854" s="7" t="s">
        <v>275</v>
      </c>
      <c r="B854" s="7" t="s">
        <v>156</v>
      </c>
      <c r="C854" s="24" t="s">
        <v>34</v>
      </c>
      <c r="D854" s="24" t="s">
        <v>35</v>
      </c>
      <c r="E854" s="8">
        <v>46191</v>
      </c>
      <c r="F854" s="8">
        <v>46194</v>
      </c>
      <c r="G854" s="9">
        <f t="shared" si="171"/>
        <v>4</v>
      </c>
      <c r="H854" s="10">
        <v>147</v>
      </c>
      <c r="I854" s="10">
        <v>46</v>
      </c>
      <c r="J854" s="10">
        <v>0</v>
      </c>
      <c r="K854" s="11">
        <f t="shared" si="172"/>
        <v>36.75</v>
      </c>
      <c r="L854" s="11">
        <f t="shared" si="173"/>
        <v>11.5</v>
      </c>
      <c r="M854" s="12">
        <f t="shared" si="174"/>
        <v>0.31292517006802723</v>
      </c>
      <c r="N854" s="11">
        <f t="shared" si="175"/>
        <v>0</v>
      </c>
      <c r="O854" s="12">
        <f t="shared" si="176"/>
        <v>0</v>
      </c>
      <c r="P854" s="12">
        <f t="shared" si="177"/>
        <v>0</v>
      </c>
      <c r="Q854" s="13">
        <f t="shared" si="169"/>
        <v>11.5</v>
      </c>
      <c r="R854" s="13">
        <f t="shared" si="170"/>
        <v>0</v>
      </c>
    </row>
    <row r="855" spans="1:18" ht="15.75" customHeight="1" x14ac:dyDescent="0.3">
      <c r="A855" s="7" t="s">
        <v>275</v>
      </c>
      <c r="B855" s="7" t="s">
        <v>276</v>
      </c>
      <c r="C855" s="24" t="s">
        <v>34</v>
      </c>
      <c r="D855" s="24" t="s">
        <v>35</v>
      </c>
      <c r="E855" s="8">
        <v>46191</v>
      </c>
      <c r="F855" s="8">
        <v>46194</v>
      </c>
      <c r="G855" s="9">
        <f t="shared" si="171"/>
        <v>4</v>
      </c>
      <c r="H855" s="10">
        <v>84</v>
      </c>
      <c r="I855" s="10">
        <v>28</v>
      </c>
      <c r="J855" s="10">
        <v>0</v>
      </c>
      <c r="K855" s="11">
        <f t="shared" si="172"/>
        <v>21</v>
      </c>
      <c r="L855" s="11">
        <f t="shared" si="173"/>
        <v>7</v>
      </c>
      <c r="M855" s="12">
        <f t="shared" si="174"/>
        <v>0.33333333333333331</v>
      </c>
      <c r="N855" s="11">
        <f t="shared" si="175"/>
        <v>0</v>
      </c>
      <c r="O855" s="12">
        <f t="shared" si="176"/>
        <v>0</v>
      </c>
      <c r="P855" s="12">
        <f t="shared" si="177"/>
        <v>0</v>
      </c>
      <c r="Q855" s="13">
        <f t="shared" si="169"/>
        <v>7</v>
      </c>
      <c r="R855" s="13">
        <f t="shared" si="170"/>
        <v>0</v>
      </c>
    </row>
    <row r="856" spans="1:18" ht="15.75" customHeight="1" x14ac:dyDescent="0.3">
      <c r="A856" s="7" t="s">
        <v>275</v>
      </c>
      <c r="B856" s="7" t="s">
        <v>207</v>
      </c>
      <c r="C856" s="24" t="s">
        <v>34</v>
      </c>
      <c r="D856" s="24" t="s">
        <v>35</v>
      </c>
      <c r="E856" s="8">
        <v>46191</v>
      </c>
      <c r="F856" s="8">
        <v>46194</v>
      </c>
      <c r="G856" s="9">
        <f t="shared" si="171"/>
        <v>4</v>
      </c>
      <c r="H856" s="10">
        <v>16</v>
      </c>
      <c r="I856" s="10">
        <v>6</v>
      </c>
      <c r="J856" s="10">
        <v>0</v>
      </c>
      <c r="K856" s="11">
        <f t="shared" si="172"/>
        <v>4</v>
      </c>
      <c r="L856" s="11">
        <f t="shared" si="173"/>
        <v>1.5</v>
      </c>
      <c r="M856" s="12">
        <f t="shared" si="174"/>
        <v>0.375</v>
      </c>
      <c r="N856" s="11">
        <f t="shared" si="175"/>
        <v>0</v>
      </c>
      <c r="O856" s="12">
        <f t="shared" si="176"/>
        <v>0</v>
      </c>
      <c r="P856" s="12">
        <f t="shared" si="177"/>
        <v>0</v>
      </c>
      <c r="Q856" s="13">
        <f t="shared" si="169"/>
        <v>1.5</v>
      </c>
      <c r="R856" s="13">
        <f t="shared" si="170"/>
        <v>0</v>
      </c>
    </row>
    <row r="857" spans="1:18" ht="15.75" customHeight="1" x14ac:dyDescent="0.3">
      <c r="A857" s="7" t="s">
        <v>275</v>
      </c>
      <c r="B857" s="7" t="s">
        <v>171</v>
      </c>
      <c r="C857" s="24" t="s">
        <v>34</v>
      </c>
      <c r="D857" s="24" t="s">
        <v>91</v>
      </c>
      <c r="E857" s="8">
        <v>46191</v>
      </c>
      <c r="F857" s="8">
        <v>46194</v>
      </c>
      <c r="G857" s="9">
        <f t="shared" si="171"/>
        <v>4</v>
      </c>
      <c r="H857" s="10">
        <v>20</v>
      </c>
      <c r="I857" s="10">
        <v>6</v>
      </c>
      <c r="J857" s="10">
        <v>0</v>
      </c>
      <c r="K857" s="11">
        <f t="shared" si="172"/>
        <v>5</v>
      </c>
      <c r="L857" s="11">
        <f t="shared" si="173"/>
        <v>1.5</v>
      </c>
      <c r="M857" s="12">
        <f t="shared" si="174"/>
        <v>0.3</v>
      </c>
      <c r="N857" s="11">
        <f t="shared" si="175"/>
        <v>0</v>
      </c>
      <c r="O857" s="12">
        <f t="shared" si="176"/>
        <v>0</v>
      </c>
      <c r="P857" s="12">
        <f t="shared" si="177"/>
        <v>0</v>
      </c>
      <c r="Q857" s="13">
        <f t="shared" si="169"/>
        <v>1.5</v>
      </c>
      <c r="R857" s="13">
        <f t="shared" si="170"/>
        <v>0</v>
      </c>
    </row>
    <row r="858" spans="1:18" ht="15.75" customHeight="1" x14ac:dyDescent="0.3">
      <c r="A858" s="7" t="s">
        <v>275</v>
      </c>
      <c r="B858" s="7" t="s">
        <v>41</v>
      </c>
      <c r="C858" s="24" t="s">
        <v>34</v>
      </c>
      <c r="D858" s="24" t="s">
        <v>39</v>
      </c>
      <c r="E858" s="8">
        <v>46191</v>
      </c>
      <c r="F858" s="8">
        <v>46194</v>
      </c>
      <c r="G858" s="9">
        <f t="shared" si="171"/>
        <v>4</v>
      </c>
      <c r="H858" s="10">
        <v>63</v>
      </c>
      <c r="I858" s="10">
        <v>11</v>
      </c>
      <c r="J858" s="10">
        <v>0</v>
      </c>
      <c r="K858" s="11">
        <f t="shared" si="172"/>
        <v>15.75</v>
      </c>
      <c r="L858" s="11">
        <f t="shared" si="173"/>
        <v>2.75</v>
      </c>
      <c r="M858" s="12">
        <f t="shared" si="174"/>
        <v>0.17460317460317459</v>
      </c>
      <c r="N858" s="11">
        <f t="shared" si="175"/>
        <v>0</v>
      </c>
      <c r="O858" s="12">
        <f t="shared" si="176"/>
        <v>0</v>
      </c>
      <c r="P858" s="12">
        <f t="shared" si="177"/>
        <v>0</v>
      </c>
      <c r="Q858" s="13">
        <f t="shared" si="169"/>
        <v>2.75</v>
      </c>
      <c r="R858" s="13">
        <f t="shared" si="170"/>
        <v>0</v>
      </c>
    </row>
    <row r="859" spans="1:18" ht="15.75" customHeight="1" x14ac:dyDescent="0.3">
      <c r="A859" s="7" t="s">
        <v>275</v>
      </c>
      <c r="B859" s="7" t="s">
        <v>42</v>
      </c>
      <c r="C859" s="24" t="s">
        <v>34</v>
      </c>
      <c r="D859" s="24" t="s">
        <v>39</v>
      </c>
      <c r="E859" s="8">
        <v>46191</v>
      </c>
      <c r="F859" s="8">
        <v>46194</v>
      </c>
      <c r="G859" s="9">
        <f t="shared" si="171"/>
        <v>4</v>
      </c>
      <c r="H859" s="10" t="s">
        <v>433</v>
      </c>
      <c r="I859" s="10" t="s">
        <v>433</v>
      </c>
      <c r="J859" s="10" t="s">
        <v>433</v>
      </c>
      <c r="K859" s="11" t="str">
        <f t="shared" si="172"/>
        <v/>
      </c>
      <c r="L859" s="11" t="str">
        <f t="shared" si="173"/>
        <v/>
      </c>
      <c r="M859" s="12" t="str">
        <f t="shared" si="174"/>
        <v/>
      </c>
      <c r="N859" s="11" t="str">
        <f t="shared" si="175"/>
        <v/>
      </c>
      <c r="O859" s="12" t="str">
        <f t="shared" si="176"/>
        <v/>
      </c>
      <c r="P859" s="12" t="str">
        <f t="shared" si="177"/>
        <v/>
      </c>
      <c r="Q859" s="13" t="str">
        <f t="shared" si="169"/>
        <v/>
      </c>
      <c r="R859" s="13" t="str">
        <f t="shared" si="170"/>
        <v/>
      </c>
    </row>
    <row r="860" spans="1:18" ht="15.75" customHeight="1" x14ac:dyDescent="0.3">
      <c r="A860" s="7" t="s">
        <v>275</v>
      </c>
      <c r="B860" s="7" t="s">
        <v>182</v>
      </c>
      <c r="C860" s="24" t="s">
        <v>34</v>
      </c>
      <c r="D860" s="24" t="s">
        <v>76</v>
      </c>
      <c r="E860" s="8">
        <v>46191</v>
      </c>
      <c r="F860" s="8">
        <v>46194</v>
      </c>
      <c r="G860" s="9">
        <f t="shared" si="171"/>
        <v>4</v>
      </c>
      <c r="H860" s="10">
        <v>12</v>
      </c>
      <c r="I860" s="10">
        <v>3</v>
      </c>
      <c r="J860" s="10">
        <v>0</v>
      </c>
      <c r="K860" s="11">
        <f t="shared" si="172"/>
        <v>3</v>
      </c>
      <c r="L860" s="11">
        <f t="shared" si="173"/>
        <v>0.75</v>
      </c>
      <c r="M860" s="12">
        <f t="shared" si="174"/>
        <v>0.25</v>
      </c>
      <c r="N860" s="11">
        <f t="shared" si="175"/>
        <v>0</v>
      </c>
      <c r="O860" s="12">
        <f t="shared" si="176"/>
        <v>0</v>
      </c>
      <c r="P860" s="12">
        <f t="shared" si="177"/>
        <v>0</v>
      </c>
      <c r="Q860" s="13">
        <f t="shared" si="169"/>
        <v>0.75</v>
      </c>
      <c r="R860" s="13">
        <f t="shared" si="170"/>
        <v>0</v>
      </c>
    </row>
    <row r="861" spans="1:18" ht="15.75" customHeight="1" x14ac:dyDescent="0.3">
      <c r="A861" s="7" t="s">
        <v>275</v>
      </c>
      <c r="B861" s="7" t="s">
        <v>231</v>
      </c>
      <c r="C861" s="24" t="s">
        <v>34</v>
      </c>
      <c r="D861" s="24" t="s">
        <v>44</v>
      </c>
      <c r="E861" s="8">
        <v>46191</v>
      </c>
      <c r="F861" s="8">
        <v>46194</v>
      </c>
      <c r="G861" s="9">
        <f t="shared" si="171"/>
        <v>4</v>
      </c>
      <c r="H861" s="10">
        <v>47</v>
      </c>
      <c r="I861" s="10">
        <v>9</v>
      </c>
      <c r="J861" s="10">
        <v>0</v>
      </c>
      <c r="K861" s="11">
        <f t="shared" si="172"/>
        <v>11.75</v>
      </c>
      <c r="L861" s="11">
        <f t="shared" si="173"/>
        <v>2.25</v>
      </c>
      <c r="M861" s="12">
        <f t="shared" si="174"/>
        <v>0.19148936170212766</v>
      </c>
      <c r="N861" s="11">
        <f t="shared" si="175"/>
        <v>0</v>
      </c>
      <c r="O861" s="12">
        <f t="shared" si="176"/>
        <v>0</v>
      </c>
      <c r="P861" s="12">
        <f t="shared" si="177"/>
        <v>0</v>
      </c>
      <c r="Q861" s="13">
        <f t="shared" si="169"/>
        <v>2.25</v>
      </c>
      <c r="R861" s="13">
        <f t="shared" si="170"/>
        <v>0</v>
      </c>
    </row>
    <row r="862" spans="1:18" ht="15.75" customHeight="1" x14ac:dyDescent="0.3">
      <c r="A862" s="7" t="s">
        <v>275</v>
      </c>
      <c r="B862" s="7" t="s">
        <v>95</v>
      </c>
      <c r="C862" s="24" t="s">
        <v>47</v>
      </c>
      <c r="D862" s="24" t="s">
        <v>48</v>
      </c>
      <c r="E862" s="8">
        <v>46191</v>
      </c>
      <c r="F862" s="8">
        <v>46194</v>
      </c>
      <c r="G862" s="9">
        <f t="shared" si="171"/>
        <v>4</v>
      </c>
      <c r="H862" s="10">
        <v>111</v>
      </c>
      <c r="I862" s="10">
        <v>33</v>
      </c>
      <c r="J862" s="10">
        <v>0</v>
      </c>
      <c r="K862" s="11">
        <f t="shared" si="172"/>
        <v>27.75</v>
      </c>
      <c r="L862" s="11">
        <f t="shared" si="173"/>
        <v>8.25</v>
      </c>
      <c r="M862" s="12">
        <f t="shared" si="174"/>
        <v>0.29729729729729731</v>
      </c>
      <c r="N862" s="11">
        <f t="shared" si="175"/>
        <v>0</v>
      </c>
      <c r="O862" s="12">
        <f t="shared" si="176"/>
        <v>0</v>
      </c>
      <c r="P862" s="12">
        <f t="shared" si="177"/>
        <v>0</v>
      </c>
      <c r="Q862" s="13">
        <f t="shared" si="169"/>
        <v>8.25</v>
      </c>
      <c r="R862" s="13">
        <f t="shared" si="170"/>
        <v>0</v>
      </c>
    </row>
    <row r="863" spans="1:18" ht="15.75" customHeight="1" x14ac:dyDescent="0.3">
      <c r="A863" s="7" t="s">
        <v>275</v>
      </c>
      <c r="B863" s="7" t="s">
        <v>96</v>
      </c>
      <c r="C863" s="24" t="s">
        <v>47</v>
      </c>
      <c r="D863" s="24" t="s">
        <v>48</v>
      </c>
      <c r="E863" s="8">
        <v>46191</v>
      </c>
      <c r="F863" s="8">
        <v>46194</v>
      </c>
      <c r="G863" s="9">
        <f t="shared" si="171"/>
        <v>4</v>
      </c>
      <c r="H863" s="10">
        <v>7</v>
      </c>
      <c r="I863" s="10">
        <v>4</v>
      </c>
      <c r="J863" s="10">
        <v>0</v>
      </c>
      <c r="K863" s="11">
        <f t="shared" si="172"/>
        <v>1.75</v>
      </c>
      <c r="L863" s="11">
        <f t="shared" si="173"/>
        <v>1</v>
      </c>
      <c r="M863" s="12">
        <f t="shared" si="174"/>
        <v>0.5714285714285714</v>
      </c>
      <c r="N863" s="11">
        <f t="shared" si="175"/>
        <v>0</v>
      </c>
      <c r="O863" s="12">
        <f t="shared" si="176"/>
        <v>0</v>
      </c>
      <c r="P863" s="12">
        <f t="shared" si="177"/>
        <v>0</v>
      </c>
      <c r="Q863" s="13">
        <f t="shared" si="169"/>
        <v>1</v>
      </c>
      <c r="R863" s="13">
        <f t="shared" si="170"/>
        <v>0</v>
      </c>
    </row>
    <row r="864" spans="1:18" ht="15.75" customHeight="1" x14ac:dyDescent="0.3">
      <c r="A864" s="7" t="s">
        <v>275</v>
      </c>
      <c r="B864" s="7" t="s">
        <v>214</v>
      </c>
      <c r="C864" s="24" t="s">
        <v>47</v>
      </c>
      <c r="D864" s="24" t="s">
        <v>53</v>
      </c>
      <c r="E864" s="8">
        <v>46191</v>
      </c>
      <c r="F864" s="8">
        <v>46194</v>
      </c>
      <c r="G864" s="9">
        <f t="shared" si="171"/>
        <v>4</v>
      </c>
      <c r="H864" s="10">
        <v>1</v>
      </c>
      <c r="I864" s="10">
        <v>0</v>
      </c>
      <c r="J864" s="10">
        <v>0</v>
      </c>
      <c r="K864" s="11">
        <f t="shared" si="172"/>
        <v>0.25</v>
      </c>
      <c r="L864" s="11">
        <f t="shared" si="173"/>
        <v>0</v>
      </c>
      <c r="M864" s="12">
        <f t="shared" si="174"/>
        <v>0</v>
      </c>
      <c r="N864" s="11">
        <f t="shared" si="175"/>
        <v>0</v>
      </c>
      <c r="O864" s="12" t="str">
        <f t="shared" si="176"/>
        <v/>
      </c>
      <c r="P864" s="12">
        <f t="shared" si="177"/>
        <v>0</v>
      </c>
      <c r="Q864" s="13">
        <f t="shared" si="169"/>
        <v>0</v>
      </c>
      <c r="R864" s="13">
        <f t="shared" si="170"/>
        <v>0</v>
      </c>
    </row>
    <row r="865" spans="1:18" ht="15.75" customHeight="1" x14ac:dyDescent="0.3">
      <c r="A865" s="7" t="s">
        <v>275</v>
      </c>
      <c r="B865" s="7" t="s">
        <v>249</v>
      </c>
      <c r="C865" s="24" t="s">
        <v>47</v>
      </c>
      <c r="D865" s="24" t="s">
        <v>48</v>
      </c>
      <c r="E865" s="8">
        <v>46191</v>
      </c>
      <c r="F865" s="8">
        <v>46194</v>
      </c>
      <c r="G865" s="9">
        <f t="shared" si="171"/>
        <v>4</v>
      </c>
      <c r="H865" s="10">
        <v>115</v>
      </c>
      <c r="I865" s="10">
        <v>32</v>
      </c>
      <c r="J865" s="10">
        <v>0</v>
      </c>
      <c r="K865" s="11">
        <f t="shared" si="172"/>
        <v>28.75</v>
      </c>
      <c r="L865" s="11">
        <f t="shared" si="173"/>
        <v>8</v>
      </c>
      <c r="M865" s="12">
        <f t="shared" si="174"/>
        <v>0.27826086956521739</v>
      </c>
      <c r="N865" s="11">
        <f t="shared" si="175"/>
        <v>0</v>
      </c>
      <c r="O865" s="12">
        <f t="shared" si="176"/>
        <v>0</v>
      </c>
      <c r="P865" s="12">
        <f t="shared" si="177"/>
        <v>0</v>
      </c>
      <c r="Q865" s="13">
        <f t="shared" si="169"/>
        <v>8</v>
      </c>
      <c r="R865" s="13">
        <f t="shared" si="170"/>
        <v>0</v>
      </c>
    </row>
    <row r="866" spans="1:18" ht="15.75" customHeight="1" x14ac:dyDescent="0.3">
      <c r="A866" s="7" t="s">
        <v>275</v>
      </c>
      <c r="B866" s="7" t="s">
        <v>52</v>
      </c>
      <c r="C866" s="24" t="s">
        <v>47</v>
      </c>
      <c r="D866" s="24" t="s">
        <v>53</v>
      </c>
      <c r="E866" s="8">
        <v>46191</v>
      </c>
      <c r="F866" s="8">
        <v>46194</v>
      </c>
      <c r="G866" s="9">
        <f t="shared" si="171"/>
        <v>4</v>
      </c>
      <c r="H866" s="10">
        <v>142</v>
      </c>
      <c r="I866" s="10">
        <v>53</v>
      </c>
      <c r="J866" s="10">
        <v>0</v>
      </c>
      <c r="K866" s="11">
        <f t="shared" si="172"/>
        <v>35.5</v>
      </c>
      <c r="L866" s="11">
        <f t="shared" si="173"/>
        <v>13.25</v>
      </c>
      <c r="M866" s="12">
        <f t="shared" si="174"/>
        <v>0.37323943661971831</v>
      </c>
      <c r="N866" s="11">
        <f t="shared" si="175"/>
        <v>0</v>
      </c>
      <c r="O866" s="12">
        <f t="shared" si="176"/>
        <v>0</v>
      </c>
      <c r="P866" s="12">
        <f t="shared" si="177"/>
        <v>0</v>
      </c>
      <c r="Q866" s="13">
        <f t="shared" si="169"/>
        <v>13.25</v>
      </c>
      <c r="R866" s="13">
        <f t="shared" si="170"/>
        <v>0</v>
      </c>
    </row>
    <row r="867" spans="1:18" ht="15.75" customHeight="1" x14ac:dyDescent="0.3">
      <c r="A867" s="7" t="s">
        <v>275</v>
      </c>
      <c r="B867" s="7" t="s">
        <v>98</v>
      </c>
      <c r="C867" s="24" t="s">
        <v>47</v>
      </c>
      <c r="D867" s="24" t="s">
        <v>53</v>
      </c>
      <c r="E867" s="8">
        <v>46191</v>
      </c>
      <c r="F867" s="8">
        <v>46194</v>
      </c>
      <c r="G867" s="9">
        <f t="shared" si="171"/>
        <v>4</v>
      </c>
      <c r="H867" s="10">
        <v>27</v>
      </c>
      <c r="I867" s="10">
        <v>9</v>
      </c>
      <c r="J867" s="10">
        <v>0</v>
      </c>
      <c r="K867" s="11">
        <f t="shared" si="172"/>
        <v>6.75</v>
      </c>
      <c r="L867" s="11">
        <f t="shared" si="173"/>
        <v>2.25</v>
      </c>
      <c r="M867" s="12">
        <f t="shared" si="174"/>
        <v>0.33333333333333331</v>
      </c>
      <c r="N867" s="11">
        <f t="shared" si="175"/>
        <v>0</v>
      </c>
      <c r="O867" s="12">
        <f t="shared" si="176"/>
        <v>0</v>
      </c>
      <c r="P867" s="12">
        <f t="shared" si="177"/>
        <v>0</v>
      </c>
      <c r="Q867" s="13">
        <f t="shared" si="169"/>
        <v>2.25</v>
      </c>
      <c r="R867" s="13">
        <f t="shared" si="170"/>
        <v>0</v>
      </c>
    </row>
    <row r="868" spans="1:18" ht="15.75" customHeight="1" x14ac:dyDescent="0.3">
      <c r="A868" s="7" t="s">
        <v>275</v>
      </c>
      <c r="B868" s="7" t="s">
        <v>268</v>
      </c>
      <c r="C868" s="24" t="s">
        <v>58</v>
      </c>
      <c r="D868" s="24" t="s">
        <v>61</v>
      </c>
      <c r="E868" s="8">
        <v>46191</v>
      </c>
      <c r="F868" s="8">
        <v>46194</v>
      </c>
      <c r="G868" s="9">
        <f t="shared" si="171"/>
        <v>4</v>
      </c>
      <c r="H868" s="10">
        <v>63</v>
      </c>
      <c r="I868" s="10">
        <v>25</v>
      </c>
      <c r="J868" s="10">
        <v>0</v>
      </c>
      <c r="K868" s="11">
        <f t="shared" si="172"/>
        <v>15.75</v>
      </c>
      <c r="L868" s="11">
        <f t="shared" si="173"/>
        <v>6.25</v>
      </c>
      <c r="M868" s="12">
        <f t="shared" si="174"/>
        <v>0.3968253968253968</v>
      </c>
      <c r="N868" s="11">
        <f t="shared" si="175"/>
        <v>0</v>
      </c>
      <c r="O868" s="12">
        <f t="shared" si="176"/>
        <v>0</v>
      </c>
      <c r="P868" s="12">
        <f t="shared" si="177"/>
        <v>0</v>
      </c>
      <c r="Q868" s="13">
        <f t="shared" si="169"/>
        <v>6.25</v>
      </c>
      <c r="R868" s="13">
        <f t="shared" si="170"/>
        <v>0</v>
      </c>
    </row>
    <row r="869" spans="1:18" ht="15.75" customHeight="1" x14ac:dyDescent="0.3">
      <c r="A869" s="7" t="s">
        <v>275</v>
      </c>
      <c r="B869" s="7" t="s">
        <v>121</v>
      </c>
      <c r="C869" s="24" t="s">
        <v>58</v>
      </c>
      <c r="D869" s="24" t="s">
        <v>61</v>
      </c>
      <c r="E869" s="8">
        <v>46191</v>
      </c>
      <c r="F869" s="8">
        <v>46194</v>
      </c>
      <c r="G869" s="9">
        <f t="shared" si="171"/>
        <v>4</v>
      </c>
      <c r="H869" s="10">
        <v>258</v>
      </c>
      <c r="I869" s="10">
        <v>57</v>
      </c>
      <c r="J869" s="10">
        <v>0</v>
      </c>
      <c r="K869" s="11">
        <f t="shared" si="172"/>
        <v>64.5</v>
      </c>
      <c r="L869" s="11">
        <f t="shared" si="173"/>
        <v>14.25</v>
      </c>
      <c r="M869" s="12">
        <f t="shared" si="174"/>
        <v>0.22093023255813954</v>
      </c>
      <c r="N869" s="11">
        <f t="shared" si="175"/>
        <v>0</v>
      </c>
      <c r="O869" s="12">
        <f t="shared" si="176"/>
        <v>0</v>
      </c>
      <c r="P869" s="12">
        <f t="shared" si="177"/>
        <v>0</v>
      </c>
      <c r="Q869" s="13">
        <f t="shared" si="169"/>
        <v>14.25</v>
      </c>
      <c r="R869" s="13">
        <f t="shared" si="170"/>
        <v>0</v>
      </c>
    </row>
    <row r="870" spans="1:18" ht="15.75" customHeight="1" x14ac:dyDescent="0.3">
      <c r="A870" s="7" t="s">
        <v>275</v>
      </c>
      <c r="B870" s="7" t="s">
        <v>104</v>
      </c>
      <c r="C870" s="24" t="s">
        <v>58</v>
      </c>
      <c r="D870" s="24" t="s">
        <v>61</v>
      </c>
      <c r="E870" s="8">
        <v>46191</v>
      </c>
      <c r="F870" s="8">
        <v>46194</v>
      </c>
      <c r="G870" s="9">
        <f t="shared" si="171"/>
        <v>4</v>
      </c>
      <c r="H870" s="10">
        <v>72</v>
      </c>
      <c r="I870" s="10">
        <v>18</v>
      </c>
      <c r="J870" s="10">
        <v>0</v>
      </c>
      <c r="K870" s="11">
        <f t="shared" si="172"/>
        <v>18</v>
      </c>
      <c r="L870" s="11">
        <f t="shared" si="173"/>
        <v>4.5</v>
      </c>
      <c r="M870" s="12">
        <f t="shared" si="174"/>
        <v>0.25</v>
      </c>
      <c r="N870" s="11">
        <f t="shared" si="175"/>
        <v>0</v>
      </c>
      <c r="O870" s="12">
        <f t="shared" si="176"/>
        <v>0</v>
      </c>
      <c r="P870" s="12">
        <f t="shared" si="177"/>
        <v>0</v>
      </c>
      <c r="Q870" s="13">
        <f t="shared" si="169"/>
        <v>4.5</v>
      </c>
      <c r="R870" s="13">
        <f t="shared" si="170"/>
        <v>0</v>
      </c>
    </row>
    <row r="871" spans="1:18" ht="15.75" customHeight="1" x14ac:dyDescent="0.3">
      <c r="A871" s="7" t="s">
        <v>275</v>
      </c>
      <c r="B871" s="7" t="s">
        <v>208</v>
      </c>
      <c r="C871" s="24" t="s">
        <v>58</v>
      </c>
      <c r="D871" s="24" t="s">
        <v>107</v>
      </c>
      <c r="E871" s="8">
        <v>46191</v>
      </c>
      <c r="F871" s="8">
        <v>46194</v>
      </c>
      <c r="G871" s="9">
        <f t="shared" si="171"/>
        <v>4</v>
      </c>
      <c r="H871" s="10">
        <v>94</v>
      </c>
      <c r="I871" s="10">
        <v>42</v>
      </c>
      <c r="J871" s="10">
        <v>0</v>
      </c>
      <c r="K871" s="11">
        <f t="shared" si="172"/>
        <v>23.5</v>
      </c>
      <c r="L871" s="11">
        <f t="shared" si="173"/>
        <v>10.5</v>
      </c>
      <c r="M871" s="12">
        <f t="shared" si="174"/>
        <v>0.44680851063829785</v>
      </c>
      <c r="N871" s="11">
        <f t="shared" si="175"/>
        <v>0</v>
      </c>
      <c r="O871" s="12">
        <f t="shared" si="176"/>
        <v>0</v>
      </c>
      <c r="P871" s="12">
        <f t="shared" si="177"/>
        <v>0</v>
      </c>
      <c r="Q871" s="13">
        <f t="shared" si="169"/>
        <v>10.5</v>
      </c>
      <c r="R871" s="13">
        <f t="shared" si="170"/>
        <v>0</v>
      </c>
    </row>
    <row r="872" spans="1:18" ht="15.75" customHeight="1" x14ac:dyDescent="0.3">
      <c r="A872" s="7" t="s">
        <v>275</v>
      </c>
      <c r="B872" s="7" t="s">
        <v>159</v>
      </c>
      <c r="C872" s="24" t="s">
        <v>58</v>
      </c>
      <c r="D872" s="24" t="s">
        <v>61</v>
      </c>
      <c r="E872" s="8">
        <v>46191</v>
      </c>
      <c r="F872" s="8">
        <v>46194</v>
      </c>
      <c r="G872" s="9">
        <f t="shared" si="171"/>
        <v>4</v>
      </c>
      <c r="H872" s="10">
        <v>2</v>
      </c>
      <c r="I872" s="10">
        <v>0</v>
      </c>
      <c r="J872" s="10">
        <v>0</v>
      </c>
      <c r="K872" s="11">
        <f t="shared" si="172"/>
        <v>0.5</v>
      </c>
      <c r="L872" s="11">
        <f t="shared" si="173"/>
        <v>0</v>
      </c>
      <c r="M872" s="12">
        <f t="shared" si="174"/>
        <v>0</v>
      </c>
      <c r="N872" s="11">
        <f t="shared" si="175"/>
        <v>0</v>
      </c>
      <c r="O872" s="12" t="str">
        <f t="shared" si="176"/>
        <v/>
      </c>
      <c r="P872" s="12">
        <f t="shared" si="177"/>
        <v>0</v>
      </c>
      <c r="Q872" s="13">
        <f t="shared" si="169"/>
        <v>0</v>
      </c>
      <c r="R872" s="13">
        <f t="shared" si="170"/>
        <v>0</v>
      </c>
    </row>
    <row r="873" spans="1:18" ht="15.75" customHeight="1" x14ac:dyDescent="0.3">
      <c r="A873" s="7" t="s">
        <v>275</v>
      </c>
      <c r="B873" s="7" t="s">
        <v>160</v>
      </c>
      <c r="C873" s="24" t="s">
        <v>58</v>
      </c>
      <c r="D873" s="24" t="s">
        <v>107</v>
      </c>
      <c r="E873" s="8">
        <v>46191</v>
      </c>
      <c r="F873" s="8">
        <v>46194</v>
      </c>
      <c r="G873" s="9">
        <f t="shared" si="171"/>
        <v>4</v>
      </c>
      <c r="H873" s="10">
        <v>1</v>
      </c>
      <c r="I873" s="10">
        <v>0</v>
      </c>
      <c r="J873" s="10">
        <v>0</v>
      </c>
      <c r="K873" s="11">
        <f t="shared" si="172"/>
        <v>0.25</v>
      </c>
      <c r="L873" s="11">
        <f t="shared" si="173"/>
        <v>0</v>
      </c>
      <c r="M873" s="12">
        <f t="shared" si="174"/>
        <v>0</v>
      </c>
      <c r="N873" s="11">
        <f t="shared" si="175"/>
        <v>0</v>
      </c>
      <c r="O873" s="12" t="str">
        <f t="shared" si="176"/>
        <v/>
      </c>
      <c r="P873" s="12">
        <f t="shared" si="177"/>
        <v>0</v>
      </c>
      <c r="Q873" s="13">
        <f t="shared" si="169"/>
        <v>0</v>
      </c>
      <c r="R873" s="13">
        <f t="shared" si="170"/>
        <v>0</v>
      </c>
    </row>
    <row r="874" spans="1:18" ht="15.75" customHeight="1" x14ac:dyDescent="0.3">
      <c r="A874" s="7" t="s">
        <v>275</v>
      </c>
      <c r="B874" s="7" t="s">
        <v>161</v>
      </c>
      <c r="C874" s="24" t="s">
        <v>58</v>
      </c>
      <c r="D874" s="24" t="s">
        <v>61</v>
      </c>
      <c r="E874" s="8">
        <v>46191</v>
      </c>
      <c r="F874" s="8">
        <v>46194</v>
      </c>
      <c r="G874" s="9">
        <f t="shared" si="171"/>
        <v>4</v>
      </c>
      <c r="H874" s="10">
        <v>3</v>
      </c>
      <c r="I874" s="10">
        <v>1</v>
      </c>
      <c r="J874" s="10">
        <v>0</v>
      </c>
      <c r="K874" s="11">
        <f t="shared" si="172"/>
        <v>0.75</v>
      </c>
      <c r="L874" s="11">
        <f t="shared" si="173"/>
        <v>0.25</v>
      </c>
      <c r="M874" s="12">
        <f t="shared" si="174"/>
        <v>0.33333333333333331</v>
      </c>
      <c r="N874" s="11">
        <f t="shared" si="175"/>
        <v>0</v>
      </c>
      <c r="O874" s="12">
        <f t="shared" si="176"/>
        <v>0</v>
      </c>
      <c r="P874" s="12">
        <f t="shared" si="177"/>
        <v>0</v>
      </c>
      <c r="Q874" s="13">
        <f t="shared" si="169"/>
        <v>0.25</v>
      </c>
      <c r="R874" s="13">
        <f t="shared" si="170"/>
        <v>0</v>
      </c>
    </row>
    <row r="875" spans="1:18" ht="15.75" customHeight="1" x14ac:dyDescent="0.3">
      <c r="A875" s="7" t="s">
        <v>275</v>
      </c>
      <c r="B875" s="7" t="s">
        <v>162</v>
      </c>
      <c r="C875" s="24" t="s">
        <v>58</v>
      </c>
      <c r="D875" s="24" t="s">
        <v>107</v>
      </c>
      <c r="E875" s="8">
        <v>46191</v>
      </c>
      <c r="F875" s="8">
        <v>46194</v>
      </c>
      <c r="G875" s="9">
        <f t="shared" si="171"/>
        <v>4</v>
      </c>
      <c r="H875" s="10" t="s">
        <v>433</v>
      </c>
      <c r="I875" s="10" t="s">
        <v>433</v>
      </c>
      <c r="J875" s="10" t="s">
        <v>433</v>
      </c>
      <c r="K875" s="11" t="str">
        <f t="shared" si="172"/>
        <v/>
      </c>
      <c r="L875" s="11" t="str">
        <f t="shared" si="173"/>
        <v/>
      </c>
      <c r="M875" s="12" t="str">
        <f t="shared" si="174"/>
        <v/>
      </c>
      <c r="N875" s="11" t="str">
        <f t="shared" si="175"/>
        <v/>
      </c>
      <c r="O875" s="12" t="str">
        <f t="shared" si="176"/>
        <v/>
      </c>
      <c r="P875" s="12" t="str">
        <f t="shared" si="177"/>
        <v/>
      </c>
      <c r="Q875" s="13" t="str">
        <f t="shared" si="169"/>
        <v/>
      </c>
      <c r="R875" s="13" t="str">
        <f t="shared" si="170"/>
        <v/>
      </c>
    </row>
    <row r="876" spans="1:18" ht="15.75" customHeight="1" x14ac:dyDescent="0.3">
      <c r="A876" s="7" t="s">
        <v>275</v>
      </c>
      <c r="B876" s="7" t="s">
        <v>163</v>
      </c>
      <c r="C876" s="24" t="s">
        <v>58</v>
      </c>
      <c r="D876" s="24" t="s">
        <v>61</v>
      </c>
      <c r="E876" s="8">
        <v>46191</v>
      </c>
      <c r="F876" s="8">
        <v>46194</v>
      </c>
      <c r="G876" s="9">
        <f t="shared" si="171"/>
        <v>4</v>
      </c>
      <c r="H876" s="10">
        <v>0</v>
      </c>
      <c r="I876" s="10">
        <v>0</v>
      </c>
      <c r="J876" s="10">
        <v>0</v>
      </c>
      <c r="K876" s="11">
        <f t="shared" si="172"/>
        <v>0</v>
      </c>
      <c r="L876" s="11">
        <f t="shared" si="173"/>
        <v>0</v>
      </c>
      <c r="M876" s="12" t="str">
        <f t="shared" si="174"/>
        <v/>
      </c>
      <c r="N876" s="11">
        <f t="shared" si="175"/>
        <v>0</v>
      </c>
      <c r="O876" s="12" t="str">
        <f t="shared" si="176"/>
        <v/>
      </c>
      <c r="P876" s="12" t="str">
        <f t="shared" si="177"/>
        <v/>
      </c>
      <c r="Q876" s="13" t="str">
        <f t="shared" si="169"/>
        <v/>
      </c>
      <c r="R876" s="13" t="str">
        <f t="shared" si="170"/>
        <v/>
      </c>
    </row>
    <row r="877" spans="1:18" ht="15.75" customHeight="1" x14ac:dyDescent="0.3">
      <c r="A877" s="7" t="s">
        <v>275</v>
      </c>
      <c r="B877" s="7" t="s">
        <v>164</v>
      </c>
      <c r="C877" s="24" t="s">
        <v>58</v>
      </c>
      <c r="D877" s="24" t="s">
        <v>107</v>
      </c>
      <c r="E877" s="8">
        <v>46191</v>
      </c>
      <c r="F877" s="8">
        <v>46194</v>
      </c>
      <c r="G877" s="9">
        <f t="shared" si="171"/>
        <v>4</v>
      </c>
      <c r="H877" s="10" t="s">
        <v>433</v>
      </c>
      <c r="I877" s="10" t="s">
        <v>433</v>
      </c>
      <c r="J877" s="10" t="s">
        <v>433</v>
      </c>
      <c r="K877" s="11" t="str">
        <f t="shared" si="172"/>
        <v/>
      </c>
      <c r="L877" s="11" t="str">
        <f t="shared" si="173"/>
        <v/>
      </c>
      <c r="M877" s="12" t="str">
        <f t="shared" si="174"/>
        <v/>
      </c>
      <c r="N877" s="11" t="str">
        <f t="shared" si="175"/>
        <v/>
      </c>
      <c r="O877" s="12" t="str">
        <f t="shared" si="176"/>
        <v/>
      </c>
      <c r="P877" s="12" t="str">
        <f t="shared" si="177"/>
        <v/>
      </c>
      <c r="Q877" s="13" t="str">
        <f t="shared" ref="Q877:Q940" si="178">IFERROR((I877/H877)*K877,"")</f>
        <v/>
      </c>
      <c r="R877" s="13" t="str">
        <f t="shared" ref="R877:R940" si="179">IFERROR((J877/H877)*K877,"")</f>
        <v/>
      </c>
    </row>
    <row r="878" spans="1:18" ht="15.75" customHeight="1" x14ac:dyDescent="0.3">
      <c r="A878" s="7" t="s">
        <v>275</v>
      </c>
      <c r="B878" s="7" t="s">
        <v>165</v>
      </c>
      <c r="C878" s="24" t="s">
        <v>58</v>
      </c>
      <c r="D878" s="24" t="s">
        <v>61</v>
      </c>
      <c r="E878" s="8">
        <v>46191</v>
      </c>
      <c r="F878" s="8">
        <v>46194</v>
      </c>
      <c r="G878" s="9">
        <f t="shared" si="171"/>
        <v>4</v>
      </c>
      <c r="H878" s="10">
        <v>0</v>
      </c>
      <c r="I878" s="10">
        <v>0</v>
      </c>
      <c r="J878" s="10">
        <v>0</v>
      </c>
      <c r="K878" s="11">
        <f t="shared" si="172"/>
        <v>0</v>
      </c>
      <c r="L878" s="11">
        <f t="shared" si="173"/>
        <v>0</v>
      </c>
      <c r="M878" s="12" t="str">
        <f t="shared" si="174"/>
        <v/>
      </c>
      <c r="N878" s="11">
        <f t="shared" si="175"/>
        <v>0</v>
      </c>
      <c r="O878" s="12" t="str">
        <f t="shared" si="176"/>
        <v/>
      </c>
      <c r="P878" s="12" t="str">
        <f t="shared" si="177"/>
        <v/>
      </c>
      <c r="Q878" s="13" t="str">
        <f t="shared" si="178"/>
        <v/>
      </c>
      <c r="R878" s="13" t="str">
        <f t="shared" si="179"/>
        <v/>
      </c>
    </row>
    <row r="879" spans="1:18" ht="15.75" customHeight="1" x14ac:dyDescent="0.3">
      <c r="A879" s="7" t="s">
        <v>275</v>
      </c>
      <c r="B879" s="7" t="s">
        <v>166</v>
      </c>
      <c r="C879" s="24" t="s">
        <v>58</v>
      </c>
      <c r="D879" s="24" t="s">
        <v>107</v>
      </c>
      <c r="E879" s="8">
        <v>46191</v>
      </c>
      <c r="F879" s="8">
        <v>46194</v>
      </c>
      <c r="G879" s="9">
        <f t="shared" si="171"/>
        <v>4</v>
      </c>
      <c r="H879" s="10" t="s">
        <v>433</v>
      </c>
      <c r="I879" s="10" t="s">
        <v>433</v>
      </c>
      <c r="J879" s="10" t="s">
        <v>433</v>
      </c>
      <c r="K879" s="11" t="str">
        <f t="shared" si="172"/>
        <v/>
      </c>
      <c r="L879" s="11" t="str">
        <f t="shared" si="173"/>
        <v/>
      </c>
      <c r="M879" s="12" t="str">
        <f t="shared" si="174"/>
        <v/>
      </c>
      <c r="N879" s="11" t="str">
        <f t="shared" si="175"/>
        <v/>
      </c>
      <c r="O879" s="12" t="str">
        <f t="shared" si="176"/>
        <v/>
      </c>
      <c r="P879" s="12" t="str">
        <f t="shared" si="177"/>
        <v/>
      </c>
      <c r="Q879" s="13" t="str">
        <f t="shared" si="178"/>
        <v/>
      </c>
      <c r="R879" s="13" t="str">
        <f t="shared" si="179"/>
        <v/>
      </c>
    </row>
    <row r="880" spans="1:18" ht="15.75" customHeight="1" x14ac:dyDescent="0.3">
      <c r="A880" s="7" t="s">
        <v>275</v>
      </c>
      <c r="B880" s="7" t="s">
        <v>86</v>
      </c>
      <c r="C880" s="24" t="s">
        <v>58</v>
      </c>
      <c r="D880" s="24" t="s">
        <v>64</v>
      </c>
      <c r="E880" s="8">
        <v>46191</v>
      </c>
      <c r="F880" s="8">
        <v>46194</v>
      </c>
      <c r="G880" s="9">
        <f t="shared" si="171"/>
        <v>4</v>
      </c>
      <c r="H880" s="10">
        <v>13</v>
      </c>
      <c r="I880" s="10">
        <v>5</v>
      </c>
      <c r="J880" s="10">
        <v>0</v>
      </c>
      <c r="K880" s="11">
        <f t="shared" si="172"/>
        <v>3.25</v>
      </c>
      <c r="L880" s="11">
        <f t="shared" si="173"/>
        <v>1.25</v>
      </c>
      <c r="M880" s="12">
        <f t="shared" si="174"/>
        <v>0.38461538461538464</v>
      </c>
      <c r="N880" s="11">
        <f t="shared" si="175"/>
        <v>0</v>
      </c>
      <c r="O880" s="12">
        <f t="shared" si="176"/>
        <v>0</v>
      </c>
      <c r="P880" s="12">
        <f t="shared" si="177"/>
        <v>0</v>
      </c>
      <c r="Q880" s="13">
        <f t="shared" si="178"/>
        <v>1.25</v>
      </c>
      <c r="R880" s="13">
        <f t="shared" si="179"/>
        <v>0</v>
      </c>
    </row>
    <row r="881" spans="1:18" ht="15.75" customHeight="1" x14ac:dyDescent="0.3">
      <c r="A881" s="7" t="s">
        <v>275</v>
      </c>
      <c r="B881" s="7" t="s">
        <v>195</v>
      </c>
      <c r="C881" s="24" t="s">
        <v>58</v>
      </c>
      <c r="D881" s="24" t="s">
        <v>444</v>
      </c>
      <c r="E881" s="8">
        <v>46191</v>
      </c>
      <c r="F881" s="8">
        <v>46194</v>
      </c>
      <c r="G881" s="9">
        <f t="shared" si="171"/>
        <v>4</v>
      </c>
      <c r="H881" s="10">
        <v>52</v>
      </c>
      <c r="I881" s="10">
        <v>19</v>
      </c>
      <c r="J881" s="10">
        <v>0</v>
      </c>
      <c r="K881" s="11">
        <f t="shared" si="172"/>
        <v>13</v>
      </c>
      <c r="L881" s="11">
        <f t="shared" si="173"/>
        <v>4.75</v>
      </c>
      <c r="M881" s="12">
        <f t="shared" si="174"/>
        <v>0.36538461538461536</v>
      </c>
      <c r="N881" s="11">
        <f t="shared" si="175"/>
        <v>0</v>
      </c>
      <c r="O881" s="12">
        <f t="shared" si="176"/>
        <v>0</v>
      </c>
      <c r="P881" s="12">
        <f t="shared" si="177"/>
        <v>0</v>
      </c>
      <c r="Q881" s="13">
        <f t="shared" si="178"/>
        <v>4.75</v>
      </c>
      <c r="R881" s="13">
        <f t="shared" si="179"/>
        <v>0</v>
      </c>
    </row>
    <row r="882" spans="1:18" ht="15.75" customHeight="1" x14ac:dyDescent="0.3">
      <c r="A882" s="7" t="s">
        <v>275</v>
      </c>
      <c r="B882" s="7" t="s">
        <v>110</v>
      </c>
      <c r="C882" s="24" t="s">
        <v>58</v>
      </c>
      <c r="D882" s="24" t="s">
        <v>66</v>
      </c>
      <c r="E882" s="8">
        <v>46191</v>
      </c>
      <c r="F882" s="8">
        <v>46194</v>
      </c>
      <c r="G882" s="9">
        <f t="shared" si="171"/>
        <v>4</v>
      </c>
      <c r="H882" s="10">
        <v>47</v>
      </c>
      <c r="I882" s="10">
        <v>14</v>
      </c>
      <c r="J882" s="10">
        <v>0</v>
      </c>
      <c r="K882" s="11">
        <f t="shared" si="172"/>
        <v>11.75</v>
      </c>
      <c r="L882" s="11">
        <f t="shared" si="173"/>
        <v>3.5</v>
      </c>
      <c r="M882" s="12">
        <f t="shared" si="174"/>
        <v>0.2978723404255319</v>
      </c>
      <c r="N882" s="11">
        <f t="shared" si="175"/>
        <v>0</v>
      </c>
      <c r="O882" s="12">
        <f t="shared" si="176"/>
        <v>0</v>
      </c>
      <c r="P882" s="12">
        <f t="shared" si="177"/>
        <v>0</v>
      </c>
      <c r="Q882" s="13">
        <f t="shared" si="178"/>
        <v>3.5</v>
      </c>
      <c r="R882" s="13">
        <f t="shared" si="179"/>
        <v>0</v>
      </c>
    </row>
    <row r="883" spans="1:18" ht="15.75" customHeight="1" x14ac:dyDescent="0.3">
      <c r="A883" s="7" t="s">
        <v>275</v>
      </c>
      <c r="B883" s="7" t="s">
        <v>111</v>
      </c>
      <c r="C883" s="24" t="s">
        <v>58</v>
      </c>
      <c r="D883" s="24" t="s">
        <v>68</v>
      </c>
      <c r="E883" s="8">
        <v>46191</v>
      </c>
      <c r="F883" s="8">
        <v>46194</v>
      </c>
      <c r="G883" s="9">
        <f t="shared" ref="G883:G946" si="180">F883-E883+1</f>
        <v>4</v>
      </c>
      <c r="H883" s="10">
        <v>12</v>
      </c>
      <c r="I883" s="10">
        <v>4</v>
      </c>
      <c r="J883" s="10">
        <v>0</v>
      </c>
      <c r="K883" s="11">
        <f t="shared" si="172"/>
        <v>3</v>
      </c>
      <c r="L883" s="11">
        <f t="shared" si="173"/>
        <v>1</v>
      </c>
      <c r="M883" s="12">
        <f t="shared" si="174"/>
        <v>0.33333333333333331</v>
      </c>
      <c r="N883" s="11">
        <f t="shared" si="175"/>
        <v>0</v>
      </c>
      <c r="O883" s="12">
        <f t="shared" si="176"/>
        <v>0</v>
      </c>
      <c r="P883" s="12">
        <f t="shared" si="177"/>
        <v>0</v>
      </c>
      <c r="Q883" s="13">
        <f t="shared" si="178"/>
        <v>1</v>
      </c>
      <c r="R883" s="13">
        <f t="shared" si="179"/>
        <v>0</v>
      </c>
    </row>
    <row r="884" spans="1:18" ht="15.75" customHeight="1" x14ac:dyDescent="0.3">
      <c r="A884" s="7" t="s">
        <v>275</v>
      </c>
      <c r="B884" s="7" t="s">
        <v>138</v>
      </c>
      <c r="C884" s="24" t="s">
        <v>58</v>
      </c>
      <c r="D884" s="24" t="s">
        <v>66</v>
      </c>
      <c r="E884" s="8">
        <v>46191</v>
      </c>
      <c r="F884" s="8">
        <v>46194</v>
      </c>
      <c r="G884" s="9">
        <f t="shared" si="180"/>
        <v>4</v>
      </c>
      <c r="H884" s="10">
        <v>3</v>
      </c>
      <c r="I884" s="10">
        <v>0</v>
      </c>
      <c r="J884" s="10">
        <v>0</v>
      </c>
      <c r="K884" s="11">
        <f t="shared" si="172"/>
        <v>0.75</v>
      </c>
      <c r="L884" s="11">
        <f t="shared" si="173"/>
        <v>0</v>
      </c>
      <c r="M884" s="12">
        <f t="shared" si="174"/>
        <v>0</v>
      </c>
      <c r="N884" s="11">
        <f t="shared" si="175"/>
        <v>0</v>
      </c>
      <c r="O884" s="12" t="str">
        <f t="shared" si="176"/>
        <v/>
      </c>
      <c r="P884" s="12">
        <f t="shared" si="177"/>
        <v>0</v>
      </c>
      <c r="Q884" s="13">
        <f t="shared" si="178"/>
        <v>0</v>
      </c>
      <c r="R884" s="13">
        <f t="shared" si="179"/>
        <v>0</v>
      </c>
    </row>
    <row r="885" spans="1:18" ht="15.75" customHeight="1" x14ac:dyDescent="0.3">
      <c r="A885" s="7" t="s">
        <v>275</v>
      </c>
      <c r="B885" s="7" t="s">
        <v>139</v>
      </c>
      <c r="C885" s="24" t="s">
        <v>58</v>
      </c>
      <c r="D885" s="24" t="s">
        <v>68</v>
      </c>
      <c r="E885" s="8">
        <v>46191</v>
      </c>
      <c r="F885" s="8">
        <v>46194</v>
      </c>
      <c r="G885" s="9">
        <f t="shared" si="180"/>
        <v>4</v>
      </c>
      <c r="H885" s="10">
        <v>14</v>
      </c>
      <c r="I885" s="10">
        <v>7</v>
      </c>
      <c r="J885" s="10">
        <v>0</v>
      </c>
      <c r="K885" s="11">
        <f t="shared" si="172"/>
        <v>3.5</v>
      </c>
      <c r="L885" s="11">
        <f t="shared" si="173"/>
        <v>1.75</v>
      </c>
      <c r="M885" s="12">
        <f t="shared" si="174"/>
        <v>0.5</v>
      </c>
      <c r="N885" s="11">
        <f t="shared" si="175"/>
        <v>0</v>
      </c>
      <c r="O885" s="12">
        <f t="shared" si="176"/>
        <v>0</v>
      </c>
      <c r="P885" s="12">
        <f t="shared" si="177"/>
        <v>0</v>
      </c>
      <c r="Q885" s="13">
        <f t="shared" si="178"/>
        <v>1.75</v>
      </c>
      <c r="R885" s="13">
        <f t="shared" si="179"/>
        <v>0</v>
      </c>
    </row>
    <row r="886" spans="1:18" ht="15.75" customHeight="1" x14ac:dyDescent="0.3">
      <c r="A886" s="7" t="s">
        <v>275</v>
      </c>
      <c r="B886" s="7" t="s">
        <v>112</v>
      </c>
      <c r="C886" s="24" t="s">
        <v>58</v>
      </c>
      <c r="D886" s="24" t="s">
        <v>66</v>
      </c>
      <c r="E886" s="8">
        <v>46191</v>
      </c>
      <c r="F886" s="8">
        <v>46194</v>
      </c>
      <c r="G886" s="9">
        <f t="shared" si="180"/>
        <v>4</v>
      </c>
      <c r="H886" s="10">
        <v>1</v>
      </c>
      <c r="I886" s="10">
        <v>0</v>
      </c>
      <c r="J886" s="10">
        <v>0</v>
      </c>
      <c r="K886" s="11">
        <f t="shared" si="172"/>
        <v>0.25</v>
      </c>
      <c r="L886" s="11">
        <f t="shared" si="173"/>
        <v>0</v>
      </c>
      <c r="M886" s="12">
        <f t="shared" si="174"/>
        <v>0</v>
      </c>
      <c r="N886" s="11">
        <f t="shared" si="175"/>
        <v>0</v>
      </c>
      <c r="O886" s="12" t="str">
        <f t="shared" si="176"/>
        <v/>
      </c>
      <c r="P886" s="12">
        <f t="shared" si="177"/>
        <v>0</v>
      </c>
      <c r="Q886" s="13">
        <f t="shared" si="178"/>
        <v>0</v>
      </c>
      <c r="R886" s="13">
        <f t="shared" si="179"/>
        <v>0</v>
      </c>
    </row>
    <row r="887" spans="1:18" ht="15.75" customHeight="1" x14ac:dyDescent="0.3">
      <c r="A887" s="7" t="s">
        <v>275</v>
      </c>
      <c r="B887" s="7" t="s">
        <v>113</v>
      </c>
      <c r="C887" s="24" t="s">
        <v>58</v>
      </c>
      <c r="D887" s="24" t="s">
        <v>68</v>
      </c>
      <c r="E887" s="8">
        <v>46191</v>
      </c>
      <c r="F887" s="8">
        <v>46194</v>
      </c>
      <c r="G887" s="9">
        <f t="shared" si="180"/>
        <v>4</v>
      </c>
      <c r="H887" s="10">
        <v>10</v>
      </c>
      <c r="I887" s="10">
        <v>3</v>
      </c>
      <c r="J887" s="10">
        <v>0</v>
      </c>
      <c r="K887" s="11">
        <f t="shared" si="172"/>
        <v>2.5</v>
      </c>
      <c r="L887" s="11">
        <f t="shared" si="173"/>
        <v>0.75</v>
      </c>
      <c r="M887" s="12">
        <f t="shared" si="174"/>
        <v>0.3</v>
      </c>
      <c r="N887" s="11">
        <f t="shared" si="175"/>
        <v>0</v>
      </c>
      <c r="O887" s="12">
        <f t="shared" si="176"/>
        <v>0</v>
      </c>
      <c r="P887" s="12">
        <f t="shared" si="177"/>
        <v>0</v>
      </c>
      <c r="Q887" s="13">
        <f t="shared" si="178"/>
        <v>0.75</v>
      </c>
      <c r="R887" s="13">
        <f t="shared" si="179"/>
        <v>0</v>
      </c>
    </row>
    <row r="888" spans="1:18" ht="15.75" customHeight="1" x14ac:dyDescent="0.3">
      <c r="A888" s="7" t="s">
        <v>275</v>
      </c>
      <c r="B888" s="7" t="s">
        <v>260</v>
      </c>
      <c r="C888" s="24" t="s">
        <v>58</v>
      </c>
      <c r="D888" s="24" t="s">
        <v>66</v>
      </c>
      <c r="E888" s="8">
        <v>46191</v>
      </c>
      <c r="F888" s="8">
        <v>46194</v>
      </c>
      <c r="G888" s="9">
        <f t="shared" si="180"/>
        <v>4</v>
      </c>
      <c r="H888" s="10">
        <v>9</v>
      </c>
      <c r="I888" s="10">
        <v>3</v>
      </c>
      <c r="J888" s="10">
        <v>0</v>
      </c>
      <c r="K888" s="11">
        <f t="shared" ref="K888:K951" si="181">IFERROR(H888/G888,"")</f>
        <v>2.25</v>
      </c>
      <c r="L888" s="11">
        <f t="shared" ref="L888:L951" si="182">IFERROR(I888/G888,"")</f>
        <v>0.75</v>
      </c>
      <c r="M888" s="12">
        <f t="shared" ref="M888:M951" si="183">IFERROR(I888/H888,"")</f>
        <v>0.33333333333333331</v>
      </c>
      <c r="N888" s="11">
        <f t="shared" ref="N888:N951" si="184">IFERROR(J888/G888,"")</f>
        <v>0</v>
      </c>
      <c r="O888" s="12">
        <f t="shared" ref="O888:O951" si="185">IFERROR(J888/I888,"")</f>
        <v>0</v>
      </c>
      <c r="P888" s="12">
        <f t="shared" ref="P888:P951" si="186">IFERROR(J888/H888,"")</f>
        <v>0</v>
      </c>
      <c r="Q888" s="13">
        <f t="shared" si="178"/>
        <v>0.75</v>
      </c>
      <c r="R888" s="13">
        <f t="shared" si="179"/>
        <v>0</v>
      </c>
    </row>
    <row r="889" spans="1:18" ht="15.75" customHeight="1" x14ac:dyDescent="0.3">
      <c r="A889" s="7" t="s">
        <v>275</v>
      </c>
      <c r="B889" s="7" t="s">
        <v>155</v>
      </c>
      <c r="C889" s="24" t="s">
        <v>58</v>
      </c>
      <c r="D889" s="24" t="s">
        <v>59</v>
      </c>
      <c r="E889" s="8">
        <v>46191</v>
      </c>
      <c r="F889" s="8">
        <v>46194</v>
      </c>
      <c r="G889" s="9">
        <f t="shared" si="180"/>
        <v>4</v>
      </c>
      <c r="H889" s="10">
        <v>6</v>
      </c>
      <c r="I889" s="10">
        <v>3</v>
      </c>
      <c r="J889" s="10">
        <v>0</v>
      </c>
      <c r="K889" s="11">
        <f t="shared" si="181"/>
        <v>1.5</v>
      </c>
      <c r="L889" s="11">
        <f t="shared" si="182"/>
        <v>0.75</v>
      </c>
      <c r="M889" s="12">
        <f t="shared" si="183"/>
        <v>0.5</v>
      </c>
      <c r="N889" s="11">
        <f t="shared" si="184"/>
        <v>0</v>
      </c>
      <c r="O889" s="12">
        <f t="shared" si="185"/>
        <v>0</v>
      </c>
      <c r="P889" s="12">
        <f t="shared" si="186"/>
        <v>0</v>
      </c>
      <c r="Q889" s="13">
        <f t="shared" si="178"/>
        <v>0.75</v>
      </c>
      <c r="R889" s="13">
        <f t="shared" si="179"/>
        <v>0</v>
      </c>
    </row>
    <row r="890" spans="1:18" ht="15" customHeight="1" x14ac:dyDescent="0.3">
      <c r="A890" s="7" t="s">
        <v>275</v>
      </c>
      <c r="B890" s="7" t="s">
        <v>210</v>
      </c>
      <c r="C890" s="24" t="s">
        <v>58</v>
      </c>
      <c r="D890" s="24" t="s">
        <v>59</v>
      </c>
      <c r="E890" s="8">
        <v>46191</v>
      </c>
      <c r="F890" s="8">
        <v>46194</v>
      </c>
      <c r="G890" s="9">
        <f t="shared" si="180"/>
        <v>4</v>
      </c>
      <c r="H890" s="10">
        <v>12</v>
      </c>
      <c r="I890" s="10">
        <v>7</v>
      </c>
      <c r="J890" s="10">
        <v>0</v>
      </c>
      <c r="K890" s="11">
        <f t="shared" si="181"/>
        <v>3</v>
      </c>
      <c r="L890" s="11">
        <f t="shared" si="182"/>
        <v>1.75</v>
      </c>
      <c r="M890" s="12">
        <f t="shared" si="183"/>
        <v>0.58333333333333337</v>
      </c>
      <c r="N890" s="11">
        <f t="shared" si="184"/>
        <v>0</v>
      </c>
      <c r="O890" s="12">
        <f t="shared" si="185"/>
        <v>0</v>
      </c>
      <c r="P890" s="12">
        <f t="shared" si="186"/>
        <v>0</v>
      </c>
      <c r="Q890" s="13">
        <f t="shared" si="178"/>
        <v>1.75</v>
      </c>
      <c r="R890" s="13">
        <f t="shared" si="179"/>
        <v>0</v>
      </c>
    </row>
    <row r="891" spans="1:18" ht="15" customHeight="1" x14ac:dyDescent="0.3">
      <c r="A891" s="7" t="s">
        <v>275</v>
      </c>
      <c r="B891" s="7" t="s">
        <v>263</v>
      </c>
      <c r="C891" s="24" t="s">
        <v>34</v>
      </c>
      <c r="D891" s="24" t="s">
        <v>35</v>
      </c>
      <c r="E891" s="8">
        <v>46191</v>
      </c>
      <c r="F891" s="8">
        <v>46194</v>
      </c>
      <c r="G891" s="9">
        <f t="shared" si="180"/>
        <v>4</v>
      </c>
      <c r="H891" s="10" t="s">
        <v>433</v>
      </c>
      <c r="I891" s="10" t="s">
        <v>433</v>
      </c>
      <c r="J891" s="10" t="s">
        <v>433</v>
      </c>
      <c r="K891" s="11" t="str">
        <f t="shared" si="181"/>
        <v/>
      </c>
      <c r="L891" s="11" t="str">
        <f t="shared" si="182"/>
        <v/>
      </c>
      <c r="M891" s="12" t="str">
        <f t="shared" si="183"/>
        <v/>
      </c>
      <c r="N891" s="11" t="str">
        <f t="shared" si="184"/>
        <v/>
      </c>
      <c r="O891" s="12" t="str">
        <f t="shared" si="185"/>
        <v/>
      </c>
      <c r="P891" s="12" t="str">
        <f t="shared" si="186"/>
        <v/>
      </c>
      <c r="Q891" s="13" t="str">
        <f t="shared" si="178"/>
        <v/>
      </c>
      <c r="R891" s="13" t="str">
        <f t="shared" si="179"/>
        <v/>
      </c>
    </row>
    <row r="892" spans="1:18" ht="15" customHeight="1" x14ac:dyDescent="0.3">
      <c r="A892" s="7" t="s">
        <v>275</v>
      </c>
      <c r="B892" s="7" t="s">
        <v>37</v>
      </c>
      <c r="C892" s="24" t="s">
        <v>34</v>
      </c>
      <c r="D892" s="24" t="s">
        <v>35</v>
      </c>
      <c r="E892" s="8">
        <v>46191</v>
      </c>
      <c r="F892" s="8">
        <v>46194</v>
      </c>
      <c r="G892" s="9">
        <f t="shared" si="180"/>
        <v>4</v>
      </c>
      <c r="H892" s="10">
        <v>26</v>
      </c>
      <c r="I892" s="10">
        <v>3</v>
      </c>
      <c r="J892" s="10">
        <v>0</v>
      </c>
      <c r="K892" s="11">
        <f t="shared" si="181"/>
        <v>6.5</v>
      </c>
      <c r="L892" s="11">
        <f t="shared" si="182"/>
        <v>0.75</v>
      </c>
      <c r="M892" s="12">
        <f t="shared" si="183"/>
        <v>0.11538461538461539</v>
      </c>
      <c r="N892" s="11">
        <f t="shared" si="184"/>
        <v>0</v>
      </c>
      <c r="O892" s="12">
        <f t="shared" si="185"/>
        <v>0</v>
      </c>
      <c r="P892" s="12">
        <f t="shared" si="186"/>
        <v>0</v>
      </c>
      <c r="Q892" s="13">
        <f t="shared" si="178"/>
        <v>0.75</v>
      </c>
      <c r="R892" s="13">
        <f t="shared" si="179"/>
        <v>0</v>
      </c>
    </row>
    <row r="893" spans="1:18" ht="15" customHeight="1" x14ac:dyDescent="0.3">
      <c r="A893" s="7" t="s">
        <v>275</v>
      </c>
      <c r="B893" s="7" t="s">
        <v>264</v>
      </c>
      <c r="C893" s="24" t="s">
        <v>34</v>
      </c>
      <c r="D893" s="24" t="s">
        <v>91</v>
      </c>
      <c r="E893" s="8">
        <v>46191</v>
      </c>
      <c r="F893" s="8">
        <v>46194</v>
      </c>
      <c r="G893" s="9">
        <f t="shared" si="180"/>
        <v>4</v>
      </c>
      <c r="H893" s="10">
        <v>41</v>
      </c>
      <c r="I893" s="10">
        <v>15</v>
      </c>
      <c r="J893" s="10">
        <v>0</v>
      </c>
      <c r="K893" s="11">
        <f t="shared" si="181"/>
        <v>10.25</v>
      </c>
      <c r="L893" s="11">
        <f t="shared" si="182"/>
        <v>3.75</v>
      </c>
      <c r="M893" s="12">
        <f t="shared" si="183"/>
        <v>0.36585365853658536</v>
      </c>
      <c r="N893" s="11">
        <f t="shared" si="184"/>
        <v>0</v>
      </c>
      <c r="O893" s="12">
        <f t="shared" si="185"/>
        <v>0</v>
      </c>
      <c r="P893" s="12">
        <f t="shared" si="186"/>
        <v>0</v>
      </c>
      <c r="Q893" s="13">
        <f t="shared" si="178"/>
        <v>3.75</v>
      </c>
      <c r="R893" s="13">
        <f t="shared" si="179"/>
        <v>0</v>
      </c>
    </row>
    <row r="894" spans="1:18" ht="15" customHeight="1" x14ac:dyDescent="0.3">
      <c r="A894" s="7" t="s">
        <v>275</v>
      </c>
      <c r="B894" s="7" t="s">
        <v>226</v>
      </c>
      <c r="C894" s="24" t="s">
        <v>34</v>
      </c>
      <c r="D894" s="24" t="s">
        <v>91</v>
      </c>
      <c r="E894" s="8">
        <v>46191</v>
      </c>
      <c r="F894" s="8">
        <v>46194</v>
      </c>
      <c r="G894" s="9">
        <f t="shared" si="180"/>
        <v>4</v>
      </c>
      <c r="H894" s="10">
        <v>18</v>
      </c>
      <c r="I894" s="10">
        <v>6</v>
      </c>
      <c r="J894" s="10">
        <v>0</v>
      </c>
      <c r="K894" s="11">
        <f t="shared" si="181"/>
        <v>4.5</v>
      </c>
      <c r="L894" s="11">
        <f t="shared" si="182"/>
        <v>1.5</v>
      </c>
      <c r="M894" s="12">
        <f t="shared" si="183"/>
        <v>0.33333333333333331</v>
      </c>
      <c r="N894" s="11">
        <f t="shared" si="184"/>
        <v>0</v>
      </c>
      <c r="O894" s="12">
        <f t="shared" si="185"/>
        <v>0</v>
      </c>
      <c r="P894" s="12">
        <f t="shared" si="186"/>
        <v>0</v>
      </c>
      <c r="Q894" s="13">
        <f t="shared" si="178"/>
        <v>1.5</v>
      </c>
      <c r="R894" s="13">
        <f t="shared" si="179"/>
        <v>0</v>
      </c>
    </row>
    <row r="895" spans="1:18" ht="15" customHeight="1" x14ac:dyDescent="0.3">
      <c r="A895" s="7" t="s">
        <v>275</v>
      </c>
      <c r="B895" s="7" t="s">
        <v>38</v>
      </c>
      <c r="C895" s="24" t="s">
        <v>34</v>
      </c>
      <c r="D895" s="24" t="s">
        <v>39</v>
      </c>
      <c r="E895" s="8">
        <v>46191</v>
      </c>
      <c r="F895" s="8">
        <v>46194</v>
      </c>
      <c r="G895" s="9">
        <f t="shared" si="180"/>
        <v>4</v>
      </c>
      <c r="H895" s="10">
        <v>153</v>
      </c>
      <c r="I895" s="10">
        <v>7</v>
      </c>
      <c r="J895" s="10">
        <v>0</v>
      </c>
      <c r="K895" s="11">
        <f t="shared" si="181"/>
        <v>38.25</v>
      </c>
      <c r="L895" s="11">
        <f t="shared" si="182"/>
        <v>1.75</v>
      </c>
      <c r="M895" s="12">
        <f t="shared" si="183"/>
        <v>4.5751633986928102E-2</v>
      </c>
      <c r="N895" s="11">
        <f t="shared" si="184"/>
        <v>0</v>
      </c>
      <c r="O895" s="12">
        <f t="shared" si="185"/>
        <v>0</v>
      </c>
      <c r="P895" s="12">
        <f t="shared" si="186"/>
        <v>0</v>
      </c>
      <c r="Q895" s="13">
        <f t="shared" si="178"/>
        <v>1.7499999999999998</v>
      </c>
      <c r="R895" s="13">
        <f t="shared" si="179"/>
        <v>0</v>
      </c>
    </row>
    <row r="896" spans="1:18" ht="15" customHeight="1" x14ac:dyDescent="0.3">
      <c r="A896" s="7" t="s">
        <v>275</v>
      </c>
      <c r="B896" s="7" t="s">
        <v>40</v>
      </c>
      <c r="C896" s="24" t="s">
        <v>34</v>
      </c>
      <c r="D896" s="24" t="s">
        <v>39</v>
      </c>
      <c r="E896" s="8">
        <v>46191</v>
      </c>
      <c r="F896" s="8">
        <v>46194</v>
      </c>
      <c r="G896" s="9">
        <f t="shared" si="180"/>
        <v>4</v>
      </c>
      <c r="H896" s="10">
        <v>4</v>
      </c>
      <c r="I896" s="10">
        <v>0</v>
      </c>
      <c r="J896" s="10">
        <v>0</v>
      </c>
      <c r="K896" s="11">
        <f t="shared" si="181"/>
        <v>1</v>
      </c>
      <c r="L896" s="11">
        <f t="shared" si="182"/>
        <v>0</v>
      </c>
      <c r="M896" s="12">
        <f t="shared" si="183"/>
        <v>0</v>
      </c>
      <c r="N896" s="11">
        <f t="shared" si="184"/>
        <v>0</v>
      </c>
      <c r="O896" s="12" t="str">
        <f t="shared" si="185"/>
        <v/>
      </c>
      <c r="P896" s="12">
        <f t="shared" si="186"/>
        <v>0</v>
      </c>
      <c r="Q896" s="13">
        <f t="shared" si="178"/>
        <v>0</v>
      </c>
      <c r="R896" s="13">
        <f t="shared" si="179"/>
        <v>0</v>
      </c>
    </row>
    <row r="897" spans="1:18" ht="15" customHeight="1" x14ac:dyDescent="0.3">
      <c r="A897" s="7" t="s">
        <v>275</v>
      </c>
      <c r="B897" s="7" t="s">
        <v>219</v>
      </c>
      <c r="C897" s="24" t="s">
        <v>34</v>
      </c>
      <c r="D897" s="24" t="s">
        <v>445</v>
      </c>
      <c r="E897" s="8">
        <v>46191</v>
      </c>
      <c r="F897" s="8">
        <v>46194</v>
      </c>
      <c r="G897" s="9">
        <f t="shared" si="180"/>
        <v>4</v>
      </c>
      <c r="H897" s="10">
        <v>111</v>
      </c>
      <c r="I897" s="10">
        <v>18</v>
      </c>
      <c r="J897" s="10">
        <v>0</v>
      </c>
      <c r="K897" s="11">
        <f t="shared" si="181"/>
        <v>27.75</v>
      </c>
      <c r="L897" s="11">
        <f t="shared" si="182"/>
        <v>4.5</v>
      </c>
      <c r="M897" s="12">
        <f t="shared" si="183"/>
        <v>0.16216216216216217</v>
      </c>
      <c r="N897" s="11">
        <f t="shared" si="184"/>
        <v>0</v>
      </c>
      <c r="O897" s="12">
        <f t="shared" si="185"/>
        <v>0</v>
      </c>
      <c r="P897" s="12">
        <f t="shared" si="186"/>
        <v>0</v>
      </c>
      <c r="Q897" s="13">
        <f t="shared" si="178"/>
        <v>4.5</v>
      </c>
      <c r="R897" s="13">
        <f t="shared" si="179"/>
        <v>0</v>
      </c>
    </row>
    <row r="898" spans="1:18" ht="15" customHeight="1" x14ac:dyDescent="0.3">
      <c r="A898" s="7" t="s">
        <v>275</v>
      </c>
      <c r="B898" s="7" t="s">
        <v>265</v>
      </c>
      <c r="C898" s="24" t="s">
        <v>34</v>
      </c>
      <c r="D898" s="24" t="s">
        <v>44</v>
      </c>
      <c r="E898" s="8">
        <v>46191</v>
      </c>
      <c r="F898" s="8">
        <v>46194</v>
      </c>
      <c r="G898" s="9">
        <f t="shared" si="180"/>
        <v>4</v>
      </c>
      <c r="H898" s="10">
        <v>23</v>
      </c>
      <c r="I898" s="10">
        <v>4</v>
      </c>
      <c r="J898" s="10">
        <v>0</v>
      </c>
      <c r="K898" s="11">
        <f t="shared" si="181"/>
        <v>5.75</v>
      </c>
      <c r="L898" s="11">
        <f t="shared" si="182"/>
        <v>1</v>
      </c>
      <c r="M898" s="12">
        <f t="shared" si="183"/>
        <v>0.17391304347826086</v>
      </c>
      <c r="N898" s="11">
        <f t="shared" si="184"/>
        <v>0</v>
      </c>
      <c r="O898" s="12">
        <f t="shared" si="185"/>
        <v>0</v>
      </c>
      <c r="P898" s="12">
        <f t="shared" si="186"/>
        <v>0</v>
      </c>
      <c r="Q898" s="13">
        <f t="shared" si="178"/>
        <v>1</v>
      </c>
      <c r="R898" s="13">
        <f t="shared" si="179"/>
        <v>0</v>
      </c>
    </row>
    <row r="899" spans="1:18" ht="15" customHeight="1" x14ac:dyDescent="0.3">
      <c r="A899" s="7" t="s">
        <v>275</v>
      </c>
      <c r="B899" s="7" t="s">
        <v>93</v>
      </c>
      <c r="C899" s="24" t="s">
        <v>47</v>
      </c>
      <c r="D899" s="24" t="s">
        <v>48</v>
      </c>
      <c r="E899" s="8">
        <v>46191</v>
      </c>
      <c r="F899" s="8">
        <v>46194</v>
      </c>
      <c r="G899" s="9">
        <f t="shared" si="180"/>
        <v>4</v>
      </c>
      <c r="H899" s="10">
        <v>36</v>
      </c>
      <c r="I899" s="10">
        <v>11</v>
      </c>
      <c r="J899" s="10">
        <v>0</v>
      </c>
      <c r="K899" s="11">
        <f t="shared" si="181"/>
        <v>9</v>
      </c>
      <c r="L899" s="11">
        <f t="shared" si="182"/>
        <v>2.75</v>
      </c>
      <c r="M899" s="12">
        <f t="shared" si="183"/>
        <v>0.30555555555555558</v>
      </c>
      <c r="N899" s="11">
        <f t="shared" si="184"/>
        <v>0</v>
      </c>
      <c r="O899" s="12">
        <f t="shared" si="185"/>
        <v>0</v>
      </c>
      <c r="P899" s="12">
        <f t="shared" si="186"/>
        <v>0</v>
      </c>
      <c r="Q899" s="13">
        <f t="shared" si="178"/>
        <v>2.75</v>
      </c>
      <c r="R899" s="13">
        <f t="shared" si="179"/>
        <v>0</v>
      </c>
    </row>
    <row r="900" spans="1:18" ht="15" customHeight="1" x14ac:dyDescent="0.3">
      <c r="A900" s="7" t="s">
        <v>275</v>
      </c>
      <c r="B900" s="7" t="s">
        <v>94</v>
      </c>
      <c r="C900" s="24" t="s">
        <v>47</v>
      </c>
      <c r="D900" s="24" t="s">
        <v>48</v>
      </c>
      <c r="E900" s="8">
        <v>46191</v>
      </c>
      <c r="F900" s="8">
        <v>46194</v>
      </c>
      <c r="G900" s="9">
        <f t="shared" si="180"/>
        <v>4</v>
      </c>
      <c r="H900" s="10">
        <v>11</v>
      </c>
      <c r="I900" s="10">
        <v>1</v>
      </c>
      <c r="J900" s="10">
        <v>0</v>
      </c>
      <c r="K900" s="11">
        <f t="shared" si="181"/>
        <v>2.75</v>
      </c>
      <c r="L900" s="11">
        <f t="shared" si="182"/>
        <v>0.25</v>
      </c>
      <c r="M900" s="12">
        <f t="shared" si="183"/>
        <v>9.0909090909090912E-2</v>
      </c>
      <c r="N900" s="11">
        <f t="shared" si="184"/>
        <v>0</v>
      </c>
      <c r="O900" s="12">
        <f t="shared" si="185"/>
        <v>0</v>
      </c>
      <c r="P900" s="12">
        <f t="shared" si="186"/>
        <v>0</v>
      </c>
      <c r="Q900" s="13">
        <f t="shared" si="178"/>
        <v>0.25</v>
      </c>
      <c r="R900" s="13">
        <f t="shared" si="179"/>
        <v>0</v>
      </c>
    </row>
    <row r="901" spans="1:18" ht="15" customHeight="1" x14ac:dyDescent="0.3">
      <c r="A901" s="7" t="s">
        <v>275</v>
      </c>
      <c r="B901" s="7" t="s">
        <v>119</v>
      </c>
      <c r="C901" s="24" t="s">
        <v>47</v>
      </c>
      <c r="D901" s="24" t="s">
        <v>48</v>
      </c>
      <c r="E901" s="8">
        <v>46191</v>
      </c>
      <c r="F901" s="8">
        <v>46194</v>
      </c>
      <c r="G901" s="9">
        <f t="shared" si="180"/>
        <v>4</v>
      </c>
      <c r="H901" s="10">
        <v>60</v>
      </c>
      <c r="I901" s="10">
        <v>25</v>
      </c>
      <c r="J901" s="10">
        <v>0</v>
      </c>
      <c r="K901" s="11">
        <f t="shared" si="181"/>
        <v>15</v>
      </c>
      <c r="L901" s="11">
        <f t="shared" si="182"/>
        <v>6.25</v>
      </c>
      <c r="M901" s="12">
        <f t="shared" si="183"/>
        <v>0.41666666666666669</v>
      </c>
      <c r="N901" s="11">
        <f t="shared" si="184"/>
        <v>0</v>
      </c>
      <c r="O901" s="12">
        <f t="shared" si="185"/>
        <v>0</v>
      </c>
      <c r="P901" s="12">
        <f t="shared" si="186"/>
        <v>0</v>
      </c>
      <c r="Q901" s="13">
        <f t="shared" si="178"/>
        <v>6.25</v>
      </c>
      <c r="R901" s="13">
        <f t="shared" si="179"/>
        <v>0</v>
      </c>
    </row>
    <row r="902" spans="1:18" ht="15" customHeight="1" x14ac:dyDescent="0.3">
      <c r="A902" s="7" t="s">
        <v>275</v>
      </c>
      <c r="B902" s="7" t="s">
        <v>120</v>
      </c>
      <c r="C902" s="24" t="s">
        <v>47</v>
      </c>
      <c r="D902" s="24" t="s">
        <v>48</v>
      </c>
      <c r="E902" s="8">
        <v>46191</v>
      </c>
      <c r="F902" s="8">
        <v>46194</v>
      </c>
      <c r="G902" s="9">
        <f t="shared" si="180"/>
        <v>4</v>
      </c>
      <c r="H902" s="10">
        <v>1</v>
      </c>
      <c r="I902" s="10">
        <v>0</v>
      </c>
      <c r="J902" s="10">
        <v>0</v>
      </c>
      <c r="K902" s="11">
        <f t="shared" si="181"/>
        <v>0.25</v>
      </c>
      <c r="L902" s="11">
        <f t="shared" si="182"/>
        <v>0</v>
      </c>
      <c r="M902" s="12">
        <f t="shared" si="183"/>
        <v>0</v>
      </c>
      <c r="N902" s="11">
        <f t="shared" si="184"/>
        <v>0</v>
      </c>
      <c r="O902" s="12" t="str">
        <f t="shared" si="185"/>
        <v/>
      </c>
      <c r="P902" s="12">
        <f t="shared" si="186"/>
        <v>0</v>
      </c>
      <c r="Q902" s="13">
        <f t="shared" si="178"/>
        <v>0</v>
      </c>
      <c r="R902" s="13">
        <f t="shared" si="179"/>
        <v>0</v>
      </c>
    </row>
    <row r="903" spans="1:18" ht="15" customHeight="1" x14ac:dyDescent="0.3">
      <c r="A903" s="7" t="s">
        <v>275</v>
      </c>
      <c r="B903" s="7" t="s">
        <v>97</v>
      </c>
      <c r="C903" s="24" t="s">
        <v>47</v>
      </c>
      <c r="D903" s="24" t="s">
        <v>53</v>
      </c>
      <c r="E903" s="8">
        <v>46191</v>
      </c>
      <c r="F903" s="8">
        <v>46194</v>
      </c>
      <c r="G903" s="9">
        <f t="shared" si="180"/>
        <v>4</v>
      </c>
      <c r="H903" s="10">
        <v>59</v>
      </c>
      <c r="I903" s="10">
        <v>23</v>
      </c>
      <c r="J903" s="10">
        <v>0</v>
      </c>
      <c r="K903" s="11">
        <f t="shared" si="181"/>
        <v>14.75</v>
      </c>
      <c r="L903" s="11">
        <f t="shared" si="182"/>
        <v>5.75</v>
      </c>
      <c r="M903" s="12">
        <f t="shared" si="183"/>
        <v>0.38983050847457629</v>
      </c>
      <c r="N903" s="11">
        <f t="shared" si="184"/>
        <v>0</v>
      </c>
      <c r="O903" s="12">
        <f t="shared" si="185"/>
        <v>0</v>
      </c>
      <c r="P903" s="12">
        <f t="shared" si="186"/>
        <v>0</v>
      </c>
      <c r="Q903" s="13">
        <f t="shared" si="178"/>
        <v>5.75</v>
      </c>
      <c r="R903" s="13">
        <f t="shared" si="179"/>
        <v>0</v>
      </c>
    </row>
    <row r="904" spans="1:18" ht="15" customHeight="1" x14ac:dyDescent="0.3">
      <c r="A904" s="7" t="s">
        <v>275</v>
      </c>
      <c r="B904" s="7" t="s">
        <v>146</v>
      </c>
      <c r="C904" s="24" t="s">
        <v>443</v>
      </c>
      <c r="D904" s="24" t="s">
        <v>147</v>
      </c>
      <c r="E904" s="8">
        <v>46191</v>
      </c>
      <c r="F904" s="8">
        <v>46194</v>
      </c>
      <c r="G904" s="9">
        <f t="shared" si="180"/>
        <v>4</v>
      </c>
      <c r="H904" s="10">
        <v>261</v>
      </c>
      <c r="I904" s="10">
        <v>52</v>
      </c>
      <c r="J904" s="10">
        <v>0</v>
      </c>
      <c r="K904" s="11">
        <f t="shared" si="181"/>
        <v>65.25</v>
      </c>
      <c r="L904" s="11">
        <f t="shared" si="182"/>
        <v>13</v>
      </c>
      <c r="M904" s="12">
        <f t="shared" si="183"/>
        <v>0.19923371647509577</v>
      </c>
      <c r="N904" s="11">
        <f t="shared" si="184"/>
        <v>0</v>
      </c>
      <c r="O904" s="12">
        <f t="shared" si="185"/>
        <v>0</v>
      </c>
      <c r="P904" s="12">
        <f t="shared" si="186"/>
        <v>0</v>
      </c>
      <c r="Q904" s="13">
        <f t="shared" si="178"/>
        <v>13</v>
      </c>
      <c r="R904" s="13">
        <f t="shared" si="179"/>
        <v>0</v>
      </c>
    </row>
    <row r="905" spans="1:18" ht="15" customHeight="1" x14ac:dyDescent="0.3">
      <c r="A905" s="7" t="s">
        <v>275</v>
      </c>
      <c r="B905" s="7" t="s">
        <v>176</v>
      </c>
      <c r="C905" s="24" t="s">
        <v>58</v>
      </c>
      <c r="D905" s="24" t="s">
        <v>61</v>
      </c>
      <c r="E905" s="8">
        <v>46191</v>
      </c>
      <c r="F905" s="8">
        <v>46194</v>
      </c>
      <c r="G905" s="9">
        <f t="shared" si="180"/>
        <v>4</v>
      </c>
      <c r="H905" s="10">
        <v>361</v>
      </c>
      <c r="I905" s="10">
        <v>133</v>
      </c>
      <c r="J905" s="10">
        <v>0</v>
      </c>
      <c r="K905" s="11">
        <f t="shared" si="181"/>
        <v>90.25</v>
      </c>
      <c r="L905" s="11">
        <f t="shared" si="182"/>
        <v>33.25</v>
      </c>
      <c r="M905" s="12">
        <f t="shared" si="183"/>
        <v>0.36842105263157893</v>
      </c>
      <c r="N905" s="11">
        <f t="shared" si="184"/>
        <v>0</v>
      </c>
      <c r="O905" s="12">
        <f t="shared" si="185"/>
        <v>0</v>
      </c>
      <c r="P905" s="12">
        <f t="shared" si="186"/>
        <v>0</v>
      </c>
      <c r="Q905" s="13">
        <f t="shared" si="178"/>
        <v>33.25</v>
      </c>
      <c r="R905" s="13">
        <f t="shared" si="179"/>
        <v>0</v>
      </c>
    </row>
    <row r="906" spans="1:18" ht="15" customHeight="1" x14ac:dyDescent="0.3">
      <c r="A906" s="7" t="s">
        <v>275</v>
      </c>
      <c r="B906" s="7" t="s">
        <v>177</v>
      </c>
      <c r="C906" s="24" t="s">
        <v>58</v>
      </c>
      <c r="D906" s="24" t="s">
        <v>61</v>
      </c>
      <c r="E906" s="8">
        <v>46191</v>
      </c>
      <c r="F906" s="8">
        <v>46194</v>
      </c>
      <c r="G906" s="9">
        <f t="shared" si="180"/>
        <v>4</v>
      </c>
      <c r="H906" s="10" t="s">
        <v>433</v>
      </c>
      <c r="I906" s="10" t="s">
        <v>433</v>
      </c>
      <c r="J906" s="10" t="s">
        <v>433</v>
      </c>
      <c r="K906" s="11" t="str">
        <f t="shared" si="181"/>
        <v/>
      </c>
      <c r="L906" s="11" t="str">
        <f t="shared" si="182"/>
        <v/>
      </c>
      <c r="M906" s="12" t="str">
        <f t="shared" si="183"/>
        <v/>
      </c>
      <c r="N906" s="11" t="str">
        <f t="shared" si="184"/>
        <v/>
      </c>
      <c r="O906" s="12" t="str">
        <f t="shared" si="185"/>
        <v/>
      </c>
      <c r="P906" s="12" t="str">
        <f t="shared" si="186"/>
        <v/>
      </c>
      <c r="Q906" s="13" t="str">
        <f t="shared" si="178"/>
        <v/>
      </c>
      <c r="R906" s="13" t="str">
        <f t="shared" si="179"/>
        <v/>
      </c>
    </row>
    <row r="907" spans="1:18" ht="15" customHeight="1" x14ac:dyDescent="0.3">
      <c r="A907" s="7" t="s">
        <v>275</v>
      </c>
      <c r="B907" s="7" t="s">
        <v>125</v>
      </c>
      <c r="C907" s="24" t="s">
        <v>58</v>
      </c>
      <c r="D907" s="24" t="s">
        <v>103</v>
      </c>
      <c r="E907" s="8">
        <v>46191</v>
      </c>
      <c r="F907" s="8">
        <v>46194</v>
      </c>
      <c r="G907" s="9">
        <f t="shared" si="180"/>
        <v>4</v>
      </c>
      <c r="H907" s="10">
        <v>199</v>
      </c>
      <c r="I907" s="10">
        <v>36</v>
      </c>
      <c r="J907" s="10">
        <v>0</v>
      </c>
      <c r="K907" s="11">
        <f t="shared" si="181"/>
        <v>49.75</v>
      </c>
      <c r="L907" s="11">
        <f t="shared" si="182"/>
        <v>9</v>
      </c>
      <c r="M907" s="12">
        <f t="shared" si="183"/>
        <v>0.18090452261306533</v>
      </c>
      <c r="N907" s="11">
        <f t="shared" si="184"/>
        <v>0</v>
      </c>
      <c r="O907" s="12">
        <f t="shared" si="185"/>
        <v>0</v>
      </c>
      <c r="P907" s="12">
        <f t="shared" si="186"/>
        <v>0</v>
      </c>
      <c r="Q907" s="13">
        <f t="shared" si="178"/>
        <v>9</v>
      </c>
      <c r="R907" s="13">
        <f t="shared" si="179"/>
        <v>0</v>
      </c>
    </row>
    <row r="908" spans="1:18" ht="15" customHeight="1" x14ac:dyDescent="0.3">
      <c r="A908" s="7" t="s">
        <v>275</v>
      </c>
      <c r="B908" s="7" t="s">
        <v>244</v>
      </c>
      <c r="C908" s="24" t="s">
        <v>58</v>
      </c>
      <c r="D908" s="24" t="s">
        <v>103</v>
      </c>
      <c r="E908" s="8">
        <v>46191</v>
      </c>
      <c r="F908" s="8">
        <v>46194</v>
      </c>
      <c r="G908" s="9">
        <f t="shared" si="180"/>
        <v>4</v>
      </c>
      <c r="H908" s="10">
        <v>30</v>
      </c>
      <c r="I908" s="10">
        <v>6</v>
      </c>
      <c r="J908" s="10">
        <v>0</v>
      </c>
      <c r="K908" s="11">
        <f t="shared" si="181"/>
        <v>7.5</v>
      </c>
      <c r="L908" s="11">
        <f t="shared" si="182"/>
        <v>1.5</v>
      </c>
      <c r="M908" s="12">
        <f t="shared" si="183"/>
        <v>0.2</v>
      </c>
      <c r="N908" s="11">
        <f t="shared" si="184"/>
        <v>0</v>
      </c>
      <c r="O908" s="12">
        <f t="shared" si="185"/>
        <v>0</v>
      </c>
      <c r="P908" s="12">
        <f t="shared" si="186"/>
        <v>0</v>
      </c>
      <c r="Q908" s="13">
        <f t="shared" si="178"/>
        <v>1.5</v>
      </c>
      <c r="R908" s="13">
        <f t="shared" si="179"/>
        <v>0</v>
      </c>
    </row>
    <row r="909" spans="1:18" ht="15" customHeight="1" x14ac:dyDescent="0.3">
      <c r="A909" s="7" t="s">
        <v>275</v>
      </c>
      <c r="B909" s="7" t="s">
        <v>223</v>
      </c>
      <c r="C909" s="24" t="s">
        <v>58</v>
      </c>
      <c r="D909" s="24" t="s">
        <v>64</v>
      </c>
      <c r="E909" s="8">
        <v>46191</v>
      </c>
      <c r="F909" s="8">
        <v>46194</v>
      </c>
      <c r="G909" s="9">
        <f t="shared" si="180"/>
        <v>4</v>
      </c>
      <c r="H909" s="10">
        <v>50</v>
      </c>
      <c r="I909" s="10">
        <v>15</v>
      </c>
      <c r="J909" s="10">
        <v>0</v>
      </c>
      <c r="K909" s="11">
        <f t="shared" si="181"/>
        <v>12.5</v>
      </c>
      <c r="L909" s="11">
        <f t="shared" si="182"/>
        <v>3.75</v>
      </c>
      <c r="M909" s="12">
        <f t="shared" si="183"/>
        <v>0.3</v>
      </c>
      <c r="N909" s="11">
        <f t="shared" si="184"/>
        <v>0</v>
      </c>
      <c r="O909" s="12">
        <f t="shared" si="185"/>
        <v>0</v>
      </c>
      <c r="P909" s="12">
        <f t="shared" si="186"/>
        <v>0</v>
      </c>
      <c r="Q909" s="13">
        <f t="shared" si="178"/>
        <v>3.75</v>
      </c>
      <c r="R909" s="13">
        <f t="shared" si="179"/>
        <v>0</v>
      </c>
    </row>
    <row r="910" spans="1:18" ht="15" customHeight="1" x14ac:dyDescent="0.3">
      <c r="A910" s="7" t="s">
        <v>275</v>
      </c>
      <c r="B910" s="7" t="s">
        <v>108</v>
      </c>
      <c r="C910" s="24" t="s">
        <v>58</v>
      </c>
      <c r="D910" s="24" t="s">
        <v>66</v>
      </c>
      <c r="E910" s="8">
        <v>46191</v>
      </c>
      <c r="F910" s="8">
        <v>46194</v>
      </c>
      <c r="G910" s="9">
        <f t="shared" si="180"/>
        <v>4</v>
      </c>
      <c r="H910" s="10">
        <v>270</v>
      </c>
      <c r="I910" s="10">
        <v>67</v>
      </c>
      <c r="J910" s="10">
        <v>0</v>
      </c>
      <c r="K910" s="11">
        <f t="shared" si="181"/>
        <v>67.5</v>
      </c>
      <c r="L910" s="11">
        <f t="shared" si="182"/>
        <v>16.75</v>
      </c>
      <c r="M910" s="12">
        <f t="shared" si="183"/>
        <v>0.24814814814814815</v>
      </c>
      <c r="N910" s="11">
        <f t="shared" si="184"/>
        <v>0</v>
      </c>
      <c r="O910" s="12">
        <f t="shared" si="185"/>
        <v>0</v>
      </c>
      <c r="P910" s="12">
        <f t="shared" si="186"/>
        <v>0</v>
      </c>
      <c r="Q910" s="13">
        <f t="shared" si="178"/>
        <v>16.75</v>
      </c>
      <c r="R910" s="13">
        <f t="shared" si="179"/>
        <v>0</v>
      </c>
    </row>
    <row r="911" spans="1:18" ht="15" customHeight="1" x14ac:dyDescent="0.3">
      <c r="A911" s="7" t="s">
        <v>275</v>
      </c>
      <c r="B911" s="7" t="s">
        <v>109</v>
      </c>
      <c r="C911" s="24" t="s">
        <v>58</v>
      </c>
      <c r="D911" s="24" t="s">
        <v>68</v>
      </c>
      <c r="E911" s="8">
        <v>46191</v>
      </c>
      <c r="F911" s="8">
        <v>46194</v>
      </c>
      <c r="G911" s="9">
        <f t="shared" si="180"/>
        <v>4</v>
      </c>
      <c r="H911" s="10">
        <v>69</v>
      </c>
      <c r="I911" s="10">
        <v>24</v>
      </c>
      <c r="J911" s="10">
        <v>0</v>
      </c>
      <c r="K911" s="11">
        <f t="shared" si="181"/>
        <v>17.25</v>
      </c>
      <c r="L911" s="11">
        <f t="shared" si="182"/>
        <v>6</v>
      </c>
      <c r="M911" s="12">
        <f t="shared" si="183"/>
        <v>0.34782608695652173</v>
      </c>
      <c r="N911" s="11">
        <f t="shared" si="184"/>
        <v>0</v>
      </c>
      <c r="O911" s="12">
        <f t="shared" si="185"/>
        <v>0</v>
      </c>
      <c r="P911" s="12">
        <f t="shared" si="186"/>
        <v>0</v>
      </c>
      <c r="Q911" s="13">
        <f t="shared" si="178"/>
        <v>6</v>
      </c>
      <c r="R911" s="13">
        <f t="shared" si="179"/>
        <v>0</v>
      </c>
    </row>
    <row r="912" spans="1:18" ht="15" customHeight="1" x14ac:dyDescent="0.3">
      <c r="A912" s="7" t="s">
        <v>275</v>
      </c>
      <c r="B912" s="7" t="s">
        <v>200</v>
      </c>
      <c r="C912" s="24" t="s">
        <v>58</v>
      </c>
      <c r="D912" s="24" t="s">
        <v>66</v>
      </c>
      <c r="E912" s="8">
        <v>46191</v>
      </c>
      <c r="F912" s="8">
        <v>46194</v>
      </c>
      <c r="G912" s="9">
        <f t="shared" si="180"/>
        <v>4</v>
      </c>
      <c r="H912" s="10">
        <v>39</v>
      </c>
      <c r="I912" s="10">
        <v>10</v>
      </c>
      <c r="J912" s="10">
        <v>0</v>
      </c>
      <c r="K912" s="11">
        <f t="shared" si="181"/>
        <v>9.75</v>
      </c>
      <c r="L912" s="11">
        <f t="shared" si="182"/>
        <v>2.5</v>
      </c>
      <c r="M912" s="12">
        <f t="shared" si="183"/>
        <v>0.25641025641025639</v>
      </c>
      <c r="N912" s="11">
        <f t="shared" si="184"/>
        <v>0</v>
      </c>
      <c r="O912" s="12">
        <f t="shared" si="185"/>
        <v>0</v>
      </c>
      <c r="P912" s="12">
        <f t="shared" si="186"/>
        <v>0</v>
      </c>
      <c r="Q912" s="13">
        <f t="shared" si="178"/>
        <v>2.5</v>
      </c>
      <c r="R912" s="13">
        <f t="shared" si="179"/>
        <v>0</v>
      </c>
    </row>
    <row r="913" spans="1:18" ht="15" customHeight="1" x14ac:dyDescent="0.3">
      <c r="A913" s="7" t="s">
        <v>275</v>
      </c>
      <c r="B913" s="7" t="s">
        <v>201</v>
      </c>
      <c r="C913" s="24" t="s">
        <v>58</v>
      </c>
      <c r="D913" s="24" t="s">
        <v>68</v>
      </c>
      <c r="E913" s="8">
        <v>46191</v>
      </c>
      <c r="F913" s="8">
        <v>46194</v>
      </c>
      <c r="G913" s="9">
        <f t="shared" si="180"/>
        <v>4</v>
      </c>
      <c r="H913" s="10">
        <v>29</v>
      </c>
      <c r="I913" s="10">
        <v>13</v>
      </c>
      <c r="J913" s="10">
        <v>0</v>
      </c>
      <c r="K913" s="11">
        <f t="shared" si="181"/>
        <v>7.25</v>
      </c>
      <c r="L913" s="11">
        <f t="shared" si="182"/>
        <v>3.25</v>
      </c>
      <c r="M913" s="12">
        <f t="shared" si="183"/>
        <v>0.44827586206896552</v>
      </c>
      <c r="N913" s="11">
        <f t="shared" si="184"/>
        <v>0</v>
      </c>
      <c r="O913" s="12">
        <f t="shared" si="185"/>
        <v>0</v>
      </c>
      <c r="P913" s="12">
        <f t="shared" si="186"/>
        <v>0</v>
      </c>
      <c r="Q913" s="13">
        <f t="shared" si="178"/>
        <v>3.25</v>
      </c>
      <c r="R913" s="13">
        <f t="shared" si="179"/>
        <v>0</v>
      </c>
    </row>
    <row r="914" spans="1:18" ht="15" customHeight="1" x14ac:dyDescent="0.3">
      <c r="A914" s="7" t="s">
        <v>275</v>
      </c>
      <c r="B914" s="7" t="s">
        <v>266</v>
      </c>
      <c r="C914" s="24" t="s">
        <v>58</v>
      </c>
      <c r="D914" s="24" t="s">
        <v>66</v>
      </c>
      <c r="E914" s="8">
        <v>46191</v>
      </c>
      <c r="F914" s="8">
        <v>46194</v>
      </c>
      <c r="G914" s="9">
        <f t="shared" si="180"/>
        <v>4</v>
      </c>
      <c r="H914" s="10">
        <v>31</v>
      </c>
      <c r="I914" s="10">
        <v>9</v>
      </c>
      <c r="J914" s="10">
        <v>0</v>
      </c>
      <c r="K914" s="11">
        <f t="shared" si="181"/>
        <v>7.75</v>
      </c>
      <c r="L914" s="11">
        <f t="shared" si="182"/>
        <v>2.25</v>
      </c>
      <c r="M914" s="12">
        <f t="shared" si="183"/>
        <v>0.29032258064516131</v>
      </c>
      <c r="N914" s="11">
        <f t="shared" si="184"/>
        <v>0</v>
      </c>
      <c r="O914" s="12">
        <f t="shared" si="185"/>
        <v>0</v>
      </c>
      <c r="P914" s="12">
        <f t="shared" si="186"/>
        <v>0</v>
      </c>
      <c r="Q914" s="13">
        <f t="shared" si="178"/>
        <v>2.25</v>
      </c>
      <c r="R914" s="13">
        <f t="shared" si="179"/>
        <v>0</v>
      </c>
    </row>
    <row r="915" spans="1:18" ht="15" customHeight="1" x14ac:dyDescent="0.3">
      <c r="A915" s="7" t="s">
        <v>275</v>
      </c>
      <c r="B915" s="7" t="s">
        <v>73</v>
      </c>
      <c r="C915" s="24" t="s">
        <v>58</v>
      </c>
      <c r="D915" s="24" t="s">
        <v>74</v>
      </c>
      <c r="E915" s="8">
        <v>46191</v>
      </c>
      <c r="F915" s="8">
        <v>46194</v>
      </c>
      <c r="G915" s="9">
        <f t="shared" si="180"/>
        <v>4</v>
      </c>
      <c r="H915" s="10">
        <v>63</v>
      </c>
      <c r="I915" s="10">
        <v>17</v>
      </c>
      <c r="J915" s="10">
        <v>0</v>
      </c>
      <c r="K915" s="11">
        <f t="shared" si="181"/>
        <v>15.75</v>
      </c>
      <c r="L915" s="11">
        <f t="shared" si="182"/>
        <v>4.25</v>
      </c>
      <c r="M915" s="12">
        <f t="shared" si="183"/>
        <v>0.26984126984126983</v>
      </c>
      <c r="N915" s="11">
        <f t="shared" si="184"/>
        <v>0</v>
      </c>
      <c r="O915" s="12">
        <f t="shared" si="185"/>
        <v>0</v>
      </c>
      <c r="P915" s="12">
        <f t="shared" si="186"/>
        <v>0</v>
      </c>
      <c r="Q915" s="13">
        <f t="shared" si="178"/>
        <v>4.25</v>
      </c>
      <c r="R915" s="13">
        <f t="shared" si="179"/>
        <v>0</v>
      </c>
    </row>
    <row r="916" spans="1:18" ht="15" customHeight="1" x14ac:dyDescent="0.3">
      <c r="A916" s="7" t="s">
        <v>275</v>
      </c>
      <c r="B916" s="7" t="s">
        <v>75</v>
      </c>
      <c r="C916" s="24" t="s">
        <v>58</v>
      </c>
      <c r="D916" s="24" t="s">
        <v>74</v>
      </c>
      <c r="E916" s="8">
        <v>46191</v>
      </c>
      <c r="F916" s="8">
        <v>46194</v>
      </c>
      <c r="G916" s="9">
        <f t="shared" si="180"/>
        <v>4</v>
      </c>
      <c r="H916" s="10">
        <v>42</v>
      </c>
      <c r="I916" s="10">
        <v>17</v>
      </c>
      <c r="J916" s="10">
        <v>0</v>
      </c>
      <c r="K916" s="11">
        <f t="shared" si="181"/>
        <v>10.5</v>
      </c>
      <c r="L916" s="11">
        <f t="shared" si="182"/>
        <v>4.25</v>
      </c>
      <c r="M916" s="12">
        <f t="shared" si="183"/>
        <v>0.40476190476190477</v>
      </c>
      <c r="N916" s="11">
        <f t="shared" si="184"/>
        <v>0</v>
      </c>
      <c r="O916" s="12">
        <f t="shared" si="185"/>
        <v>0</v>
      </c>
      <c r="P916" s="12">
        <f t="shared" si="186"/>
        <v>0</v>
      </c>
      <c r="Q916" s="13">
        <f t="shared" si="178"/>
        <v>4.25</v>
      </c>
      <c r="R916" s="13">
        <f t="shared" si="179"/>
        <v>0</v>
      </c>
    </row>
    <row r="917" spans="1:18" ht="15" customHeight="1" x14ac:dyDescent="0.3">
      <c r="A917" s="7" t="s">
        <v>275</v>
      </c>
      <c r="B917" s="7" t="s">
        <v>180</v>
      </c>
      <c r="C917" s="24" t="s">
        <v>58</v>
      </c>
      <c r="D917" s="24" t="s">
        <v>59</v>
      </c>
      <c r="E917" s="8">
        <v>46191</v>
      </c>
      <c r="F917" s="8">
        <v>46194</v>
      </c>
      <c r="G917" s="9">
        <f t="shared" si="180"/>
        <v>4</v>
      </c>
      <c r="H917" s="10">
        <v>62</v>
      </c>
      <c r="I917" s="10">
        <v>20</v>
      </c>
      <c r="J917" s="10">
        <v>0</v>
      </c>
      <c r="K917" s="11">
        <f t="shared" si="181"/>
        <v>15.5</v>
      </c>
      <c r="L917" s="11">
        <f t="shared" si="182"/>
        <v>5</v>
      </c>
      <c r="M917" s="12">
        <f t="shared" si="183"/>
        <v>0.32258064516129031</v>
      </c>
      <c r="N917" s="11">
        <f t="shared" si="184"/>
        <v>0</v>
      </c>
      <c r="O917" s="12">
        <f t="shared" si="185"/>
        <v>0</v>
      </c>
      <c r="P917" s="12">
        <f t="shared" si="186"/>
        <v>0</v>
      </c>
      <c r="Q917" s="13">
        <f t="shared" si="178"/>
        <v>5</v>
      </c>
      <c r="R917" s="13">
        <f t="shared" si="179"/>
        <v>0</v>
      </c>
    </row>
    <row r="918" spans="1:18" ht="15" customHeight="1" x14ac:dyDescent="0.3">
      <c r="A918" s="7" t="s">
        <v>275</v>
      </c>
      <c r="B918" s="7" t="s">
        <v>114</v>
      </c>
      <c r="C918" s="24" t="s">
        <v>58</v>
      </c>
      <c r="D918" s="24" t="s">
        <v>74</v>
      </c>
      <c r="E918" s="8">
        <v>46191</v>
      </c>
      <c r="F918" s="8">
        <v>46194</v>
      </c>
      <c r="G918" s="9">
        <f t="shared" si="180"/>
        <v>4</v>
      </c>
      <c r="H918" s="10">
        <v>43</v>
      </c>
      <c r="I918" s="10">
        <v>20</v>
      </c>
      <c r="J918" s="10">
        <v>0</v>
      </c>
      <c r="K918" s="11">
        <f t="shared" si="181"/>
        <v>10.75</v>
      </c>
      <c r="L918" s="11">
        <f t="shared" si="182"/>
        <v>5</v>
      </c>
      <c r="M918" s="12">
        <f t="shared" si="183"/>
        <v>0.46511627906976744</v>
      </c>
      <c r="N918" s="11">
        <f t="shared" si="184"/>
        <v>0</v>
      </c>
      <c r="O918" s="12">
        <f t="shared" si="185"/>
        <v>0</v>
      </c>
      <c r="P918" s="12">
        <f t="shared" si="186"/>
        <v>0</v>
      </c>
      <c r="Q918" s="13">
        <f t="shared" si="178"/>
        <v>5</v>
      </c>
      <c r="R918" s="13">
        <f t="shared" si="179"/>
        <v>0</v>
      </c>
    </row>
    <row r="919" spans="1:18" ht="15" customHeight="1" x14ac:dyDescent="0.3">
      <c r="A919" s="7" t="s">
        <v>275</v>
      </c>
      <c r="B919" s="7" t="s">
        <v>117</v>
      </c>
      <c r="C919" s="24" t="s">
        <v>47</v>
      </c>
      <c r="D919" s="24" t="s">
        <v>48</v>
      </c>
      <c r="E919" s="8">
        <v>46191</v>
      </c>
      <c r="F919" s="8">
        <v>46194</v>
      </c>
      <c r="G919" s="9">
        <f t="shared" si="180"/>
        <v>4</v>
      </c>
      <c r="H919" s="10">
        <v>617</v>
      </c>
      <c r="I919" s="10">
        <v>178</v>
      </c>
      <c r="J919" s="10">
        <v>0</v>
      </c>
      <c r="K919" s="11">
        <f t="shared" si="181"/>
        <v>154.25</v>
      </c>
      <c r="L919" s="11">
        <f t="shared" si="182"/>
        <v>44.5</v>
      </c>
      <c r="M919" s="12">
        <f t="shared" si="183"/>
        <v>0.28849270664505672</v>
      </c>
      <c r="N919" s="11">
        <f t="shared" si="184"/>
        <v>0</v>
      </c>
      <c r="O919" s="12">
        <f t="shared" si="185"/>
        <v>0</v>
      </c>
      <c r="P919" s="12">
        <f t="shared" si="186"/>
        <v>0</v>
      </c>
      <c r="Q919" s="13">
        <f t="shared" si="178"/>
        <v>44.5</v>
      </c>
      <c r="R919" s="13">
        <f t="shared" si="179"/>
        <v>0</v>
      </c>
    </row>
    <row r="920" spans="1:18" ht="15" customHeight="1" x14ac:dyDescent="0.3">
      <c r="A920" s="7" t="s">
        <v>275</v>
      </c>
      <c r="B920" s="7" t="s">
        <v>118</v>
      </c>
      <c r="C920" s="24" t="s">
        <v>47</v>
      </c>
      <c r="D920" s="24" t="s">
        <v>48</v>
      </c>
      <c r="E920" s="8">
        <v>46191</v>
      </c>
      <c r="F920" s="8">
        <v>46194</v>
      </c>
      <c r="G920" s="9">
        <f t="shared" si="180"/>
        <v>4</v>
      </c>
      <c r="H920" s="10">
        <v>10</v>
      </c>
      <c r="I920" s="10">
        <v>4</v>
      </c>
      <c r="J920" s="10">
        <v>0</v>
      </c>
      <c r="K920" s="11">
        <f t="shared" si="181"/>
        <v>2.5</v>
      </c>
      <c r="L920" s="11">
        <f t="shared" si="182"/>
        <v>1</v>
      </c>
      <c r="M920" s="12">
        <f t="shared" si="183"/>
        <v>0.4</v>
      </c>
      <c r="N920" s="11">
        <f t="shared" si="184"/>
        <v>0</v>
      </c>
      <c r="O920" s="12">
        <f t="shared" si="185"/>
        <v>0</v>
      </c>
      <c r="P920" s="12">
        <f t="shared" si="186"/>
        <v>0</v>
      </c>
      <c r="Q920" s="13">
        <f t="shared" si="178"/>
        <v>1</v>
      </c>
      <c r="R920" s="13">
        <f t="shared" si="179"/>
        <v>0</v>
      </c>
    </row>
    <row r="921" spans="1:18" ht="15" customHeight="1" x14ac:dyDescent="0.3">
      <c r="A921" s="7" t="s">
        <v>275</v>
      </c>
      <c r="B921" s="7" t="s">
        <v>270</v>
      </c>
      <c r="C921" s="24" t="s">
        <v>47</v>
      </c>
      <c r="D921" s="24" t="s">
        <v>48</v>
      </c>
      <c r="E921" s="8">
        <v>46191</v>
      </c>
      <c r="F921" s="8">
        <v>46194</v>
      </c>
      <c r="G921" s="9">
        <f t="shared" si="180"/>
        <v>4</v>
      </c>
      <c r="H921" s="10">
        <v>292</v>
      </c>
      <c r="I921" s="10">
        <v>101</v>
      </c>
      <c r="J921" s="10">
        <v>0</v>
      </c>
      <c r="K921" s="11">
        <f t="shared" si="181"/>
        <v>73</v>
      </c>
      <c r="L921" s="11">
        <f t="shared" si="182"/>
        <v>25.25</v>
      </c>
      <c r="M921" s="12">
        <f t="shared" si="183"/>
        <v>0.3458904109589041</v>
      </c>
      <c r="N921" s="11">
        <f t="shared" si="184"/>
        <v>0</v>
      </c>
      <c r="O921" s="12">
        <f t="shared" si="185"/>
        <v>0</v>
      </c>
      <c r="P921" s="12">
        <f t="shared" si="186"/>
        <v>0</v>
      </c>
      <c r="Q921" s="13">
        <f t="shared" si="178"/>
        <v>25.25</v>
      </c>
      <c r="R921" s="13">
        <f t="shared" si="179"/>
        <v>0</v>
      </c>
    </row>
    <row r="922" spans="1:18" ht="15" customHeight="1" x14ac:dyDescent="0.3">
      <c r="A922" s="7" t="s">
        <v>275</v>
      </c>
      <c r="B922" s="7" t="s">
        <v>271</v>
      </c>
      <c r="C922" s="24" t="s">
        <v>47</v>
      </c>
      <c r="D922" s="24" t="s">
        <v>48</v>
      </c>
      <c r="E922" s="8">
        <v>46191</v>
      </c>
      <c r="F922" s="8">
        <v>46194</v>
      </c>
      <c r="G922" s="9">
        <f t="shared" si="180"/>
        <v>4</v>
      </c>
      <c r="H922" s="10">
        <v>5</v>
      </c>
      <c r="I922" s="10">
        <v>4</v>
      </c>
      <c r="J922" s="10">
        <v>0</v>
      </c>
      <c r="K922" s="11">
        <f t="shared" si="181"/>
        <v>1.25</v>
      </c>
      <c r="L922" s="11">
        <f t="shared" si="182"/>
        <v>1</v>
      </c>
      <c r="M922" s="12">
        <f t="shared" si="183"/>
        <v>0.8</v>
      </c>
      <c r="N922" s="11">
        <f t="shared" si="184"/>
        <v>0</v>
      </c>
      <c r="O922" s="12">
        <f t="shared" si="185"/>
        <v>0</v>
      </c>
      <c r="P922" s="12">
        <f t="shared" si="186"/>
        <v>0</v>
      </c>
      <c r="Q922" s="13">
        <f t="shared" si="178"/>
        <v>1</v>
      </c>
      <c r="R922" s="13">
        <f t="shared" si="179"/>
        <v>0</v>
      </c>
    </row>
    <row r="923" spans="1:18" ht="15" customHeight="1" x14ac:dyDescent="0.3">
      <c r="A923" s="7" t="s">
        <v>275</v>
      </c>
      <c r="B923" s="7" t="s">
        <v>188</v>
      </c>
      <c r="C923" s="24" t="s">
        <v>34</v>
      </c>
      <c r="D923" s="24" t="s">
        <v>53</v>
      </c>
      <c r="E923" s="8">
        <v>46191</v>
      </c>
      <c r="F923" s="8">
        <v>46194</v>
      </c>
      <c r="G923" s="9">
        <f t="shared" si="180"/>
        <v>4</v>
      </c>
      <c r="H923" s="10">
        <v>84</v>
      </c>
      <c r="I923" s="10">
        <v>27</v>
      </c>
      <c r="J923" s="10">
        <v>0</v>
      </c>
      <c r="K923" s="11">
        <f t="shared" si="181"/>
        <v>21</v>
      </c>
      <c r="L923" s="11">
        <f t="shared" si="182"/>
        <v>6.75</v>
      </c>
      <c r="M923" s="12">
        <f t="shared" si="183"/>
        <v>0.32142857142857145</v>
      </c>
      <c r="N923" s="11">
        <f t="shared" si="184"/>
        <v>0</v>
      </c>
      <c r="O923" s="12">
        <f t="shared" si="185"/>
        <v>0</v>
      </c>
      <c r="P923" s="12">
        <f t="shared" si="186"/>
        <v>0</v>
      </c>
      <c r="Q923" s="13">
        <f t="shared" si="178"/>
        <v>6.7500000000000009</v>
      </c>
      <c r="R923" s="13">
        <f t="shared" si="179"/>
        <v>0</v>
      </c>
    </row>
    <row r="924" spans="1:18" ht="15" customHeight="1" x14ac:dyDescent="0.3">
      <c r="A924" s="7" t="s">
        <v>275</v>
      </c>
      <c r="B924" s="7" t="s">
        <v>33</v>
      </c>
      <c r="C924" s="24" t="s">
        <v>34</v>
      </c>
      <c r="D924" s="24" t="s">
        <v>35</v>
      </c>
      <c r="E924" s="8">
        <v>46191</v>
      </c>
      <c r="F924" s="8">
        <v>46194</v>
      </c>
      <c r="G924" s="9">
        <f t="shared" si="180"/>
        <v>4</v>
      </c>
      <c r="H924" s="10">
        <v>455</v>
      </c>
      <c r="I924" s="10">
        <v>153</v>
      </c>
      <c r="J924" s="10">
        <v>0</v>
      </c>
      <c r="K924" s="11">
        <f t="shared" si="181"/>
        <v>113.75</v>
      </c>
      <c r="L924" s="11">
        <f t="shared" si="182"/>
        <v>38.25</v>
      </c>
      <c r="M924" s="12">
        <f t="shared" si="183"/>
        <v>0.33626373626373629</v>
      </c>
      <c r="N924" s="11">
        <f t="shared" si="184"/>
        <v>0</v>
      </c>
      <c r="O924" s="12">
        <f t="shared" si="185"/>
        <v>0</v>
      </c>
      <c r="P924" s="12">
        <f t="shared" si="186"/>
        <v>0</v>
      </c>
      <c r="Q924" s="13">
        <f t="shared" si="178"/>
        <v>38.25</v>
      </c>
      <c r="R924" s="13">
        <f t="shared" si="179"/>
        <v>0</v>
      </c>
    </row>
    <row r="925" spans="1:18" ht="15" customHeight="1" x14ac:dyDescent="0.3">
      <c r="A925" s="7" t="s">
        <v>275</v>
      </c>
      <c r="B925" s="7" t="s">
        <v>36</v>
      </c>
      <c r="C925" s="24" t="s">
        <v>34</v>
      </c>
      <c r="D925" s="24" t="s">
        <v>35</v>
      </c>
      <c r="E925" s="8">
        <v>46191</v>
      </c>
      <c r="F925" s="8">
        <v>46194</v>
      </c>
      <c r="G925" s="9">
        <f t="shared" si="180"/>
        <v>4</v>
      </c>
      <c r="H925" s="10" t="s">
        <v>433</v>
      </c>
      <c r="I925" s="10" t="s">
        <v>433</v>
      </c>
      <c r="J925" s="10" t="s">
        <v>433</v>
      </c>
      <c r="K925" s="11" t="str">
        <f t="shared" si="181"/>
        <v/>
      </c>
      <c r="L925" s="11" t="str">
        <f t="shared" si="182"/>
        <v/>
      </c>
      <c r="M925" s="12" t="str">
        <f t="shared" si="183"/>
        <v/>
      </c>
      <c r="N925" s="11" t="str">
        <f t="shared" si="184"/>
        <v/>
      </c>
      <c r="O925" s="12" t="str">
        <f t="shared" si="185"/>
        <v/>
      </c>
      <c r="P925" s="12" t="str">
        <f t="shared" si="186"/>
        <v/>
      </c>
      <c r="Q925" s="13" t="str">
        <f t="shared" si="178"/>
        <v/>
      </c>
      <c r="R925" s="13" t="str">
        <f t="shared" si="179"/>
        <v/>
      </c>
    </row>
    <row r="926" spans="1:18" ht="15" customHeight="1" x14ac:dyDescent="0.3">
      <c r="A926" s="7" t="s">
        <v>275</v>
      </c>
      <c r="B926" s="7" t="s">
        <v>272</v>
      </c>
      <c r="C926" s="24" t="s">
        <v>47</v>
      </c>
      <c r="D926" s="24" t="s">
        <v>48</v>
      </c>
      <c r="E926" s="8">
        <v>46191</v>
      </c>
      <c r="F926" s="8">
        <v>46194</v>
      </c>
      <c r="G926" s="9">
        <f t="shared" si="180"/>
        <v>4</v>
      </c>
      <c r="H926" s="10" t="s">
        <v>433</v>
      </c>
      <c r="I926" s="10" t="s">
        <v>433</v>
      </c>
      <c r="J926" s="10" t="s">
        <v>433</v>
      </c>
      <c r="K926" s="11" t="str">
        <f t="shared" si="181"/>
        <v/>
      </c>
      <c r="L926" s="11" t="str">
        <f t="shared" si="182"/>
        <v/>
      </c>
      <c r="M926" s="12" t="str">
        <f t="shared" si="183"/>
        <v/>
      </c>
      <c r="N926" s="11" t="str">
        <f t="shared" si="184"/>
        <v/>
      </c>
      <c r="O926" s="12" t="str">
        <f t="shared" si="185"/>
        <v/>
      </c>
      <c r="P926" s="12" t="str">
        <f t="shared" si="186"/>
        <v/>
      </c>
      <c r="Q926" s="13" t="str">
        <f t="shared" si="178"/>
        <v/>
      </c>
      <c r="R926" s="13" t="str">
        <f t="shared" si="179"/>
        <v/>
      </c>
    </row>
    <row r="927" spans="1:18" ht="15" customHeight="1" x14ac:dyDescent="0.3">
      <c r="A927" s="7" t="s">
        <v>275</v>
      </c>
      <c r="B927" s="7" t="s">
        <v>273</v>
      </c>
      <c r="C927" s="24" t="s">
        <v>47</v>
      </c>
      <c r="D927" s="24" t="s">
        <v>48</v>
      </c>
      <c r="E927" s="8">
        <v>46191</v>
      </c>
      <c r="F927" s="8">
        <v>46194</v>
      </c>
      <c r="G927" s="9">
        <f t="shared" si="180"/>
        <v>4</v>
      </c>
      <c r="H927" s="10" t="s">
        <v>433</v>
      </c>
      <c r="I927" s="10" t="s">
        <v>433</v>
      </c>
      <c r="J927" s="10" t="s">
        <v>433</v>
      </c>
      <c r="K927" s="11" t="str">
        <f t="shared" si="181"/>
        <v/>
      </c>
      <c r="L927" s="11" t="str">
        <f t="shared" si="182"/>
        <v/>
      </c>
      <c r="M927" s="12" t="str">
        <f t="shared" si="183"/>
        <v/>
      </c>
      <c r="N927" s="11" t="str">
        <f t="shared" si="184"/>
        <v/>
      </c>
      <c r="O927" s="12" t="str">
        <f t="shared" si="185"/>
        <v/>
      </c>
      <c r="P927" s="12" t="str">
        <f t="shared" si="186"/>
        <v/>
      </c>
      <c r="Q927" s="13" t="str">
        <f t="shared" si="178"/>
        <v/>
      </c>
      <c r="R927" s="13" t="str">
        <f t="shared" si="179"/>
        <v/>
      </c>
    </row>
    <row r="928" spans="1:18" ht="15" customHeight="1" x14ac:dyDescent="0.3">
      <c r="A928" s="7" t="s">
        <v>275</v>
      </c>
      <c r="B928" s="7" t="s">
        <v>274</v>
      </c>
      <c r="C928" s="24" t="s">
        <v>47</v>
      </c>
      <c r="D928" s="24" t="s">
        <v>48</v>
      </c>
      <c r="E928" s="8">
        <v>46191</v>
      </c>
      <c r="F928" s="8">
        <v>46194</v>
      </c>
      <c r="G928" s="9">
        <f t="shared" si="180"/>
        <v>4</v>
      </c>
      <c r="H928" s="10" t="s">
        <v>433</v>
      </c>
      <c r="I928" s="10" t="s">
        <v>433</v>
      </c>
      <c r="J928" s="10" t="s">
        <v>433</v>
      </c>
      <c r="K928" s="11" t="str">
        <f t="shared" si="181"/>
        <v/>
      </c>
      <c r="L928" s="11" t="str">
        <f t="shared" si="182"/>
        <v/>
      </c>
      <c r="M928" s="12" t="str">
        <f t="shared" si="183"/>
        <v/>
      </c>
      <c r="N928" s="11" t="str">
        <f t="shared" si="184"/>
        <v/>
      </c>
      <c r="O928" s="12" t="str">
        <f t="shared" si="185"/>
        <v/>
      </c>
      <c r="P928" s="12" t="str">
        <f t="shared" si="186"/>
        <v/>
      </c>
      <c r="Q928" s="13" t="str">
        <f t="shared" si="178"/>
        <v/>
      </c>
      <c r="R928" s="13" t="str">
        <f t="shared" si="179"/>
        <v/>
      </c>
    </row>
    <row r="929" spans="1:18" ht="15.75" customHeight="1" x14ac:dyDescent="0.3">
      <c r="A929" s="7" t="s">
        <v>277</v>
      </c>
      <c r="B929" s="7" t="s">
        <v>170</v>
      </c>
      <c r="C929" s="24" t="s">
        <v>34</v>
      </c>
      <c r="D929" s="24" t="s">
        <v>35</v>
      </c>
      <c r="E929" s="8">
        <v>46195</v>
      </c>
      <c r="F929" s="8">
        <v>46203</v>
      </c>
      <c r="G929" s="9">
        <f t="shared" si="180"/>
        <v>9</v>
      </c>
      <c r="H929" s="10"/>
      <c r="I929" s="10"/>
      <c r="J929" s="10"/>
      <c r="K929" s="11">
        <f t="shared" si="181"/>
        <v>0</v>
      </c>
      <c r="L929" s="11">
        <f t="shared" si="182"/>
        <v>0</v>
      </c>
      <c r="M929" s="12" t="str">
        <f t="shared" si="183"/>
        <v/>
      </c>
      <c r="N929" s="11">
        <f t="shared" si="184"/>
        <v>0</v>
      </c>
      <c r="O929" s="12" t="str">
        <f t="shared" si="185"/>
        <v/>
      </c>
      <c r="P929" s="12" t="str">
        <f t="shared" si="186"/>
        <v/>
      </c>
      <c r="Q929" s="13" t="str">
        <f t="shared" si="178"/>
        <v/>
      </c>
      <c r="R929" s="13" t="str">
        <f t="shared" si="179"/>
        <v/>
      </c>
    </row>
    <row r="930" spans="1:18" ht="15.75" customHeight="1" x14ac:dyDescent="0.3">
      <c r="A930" s="7" t="s">
        <v>277</v>
      </c>
      <c r="B930" s="7" t="s">
        <v>79</v>
      </c>
      <c r="C930" s="24" t="s">
        <v>34</v>
      </c>
      <c r="D930" s="24" t="s">
        <v>35</v>
      </c>
      <c r="E930" s="8">
        <v>46195</v>
      </c>
      <c r="F930" s="8">
        <v>46203</v>
      </c>
      <c r="G930" s="9">
        <f t="shared" si="180"/>
        <v>9</v>
      </c>
      <c r="H930" s="10"/>
      <c r="I930" s="10"/>
      <c r="J930" s="10"/>
      <c r="K930" s="11">
        <f t="shared" si="181"/>
        <v>0</v>
      </c>
      <c r="L930" s="11">
        <f t="shared" si="182"/>
        <v>0</v>
      </c>
      <c r="M930" s="12" t="str">
        <f t="shared" si="183"/>
        <v/>
      </c>
      <c r="N930" s="11">
        <f t="shared" si="184"/>
        <v>0</v>
      </c>
      <c r="O930" s="12" t="str">
        <f t="shared" si="185"/>
        <v/>
      </c>
      <c r="P930" s="12" t="str">
        <f t="shared" si="186"/>
        <v/>
      </c>
      <c r="Q930" s="13" t="str">
        <f t="shared" si="178"/>
        <v/>
      </c>
      <c r="R930" s="13" t="str">
        <f t="shared" si="179"/>
        <v/>
      </c>
    </row>
    <row r="931" spans="1:18" ht="15.75" customHeight="1" x14ac:dyDescent="0.3">
      <c r="A931" s="7" t="s">
        <v>277</v>
      </c>
      <c r="B931" s="7" t="s">
        <v>181</v>
      </c>
      <c r="C931" s="24" t="s">
        <v>34</v>
      </c>
      <c r="D931" s="24" t="s">
        <v>91</v>
      </c>
      <c r="E931" s="8">
        <v>46195</v>
      </c>
      <c r="F931" s="8">
        <v>46203</v>
      </c>
      <c r="G931" s="9">
        <f t="shared" si="180"/>
        <v>9</v>
      </c>
      <c r="H931" s="10"/>
      <c r="I931" s="10"/>
      <c r="J931" s="10"/>
      <c r="K931" s="11">
        <f t="shared" si="181"/>
        <v>0</v>
      </c>
      <c r="L931" s="11">
        <f t="shared" si="182"/>
        <v>0</v>
      </c>
      <c r="M931" s="12" t="str">
        <f t="shared" si="183"/>
        <v/>
      </c>
      <c r="N931" s="11">
        <f t="shared" si="184"/>
        <v>0</v>
      </c>
      <c r="O931" s="12" t="str">
        <f t="shared" si="185"/>
        <v/>
      </c>
      <c r="P931" s="12" t="str">
        <f t="shared" si="186"/>
        <v/>
      </c>
      <c r="Q931" s="13" t="str">
        <f t="shared" si="178"/>
        <v/>
      </c>
      <c r="R931" s="13" t="str">
        <f t="shared" si="179"/>
        <v/>
      </c>
    </row>
    <row r="932" spans="1:18" ht="15.75" customHeight="1" x14ac:dyDescent="0.3">
      <c r="A932" s="7" t="s">
        <v>277</v>
      </c>
      <c r="B932" s="7" t="s">
        <v>227</v>
      </c>
      <c r="C932" s="24" t="s">
        <v>34</v>
      </c>
      <c r="D932" s="24" t="s">
        <v>91</v>
      </c>
      <c r="E932" s="8">
        <v>46195</v>
      </c>
      <c r="F932" s="8">
        <v>46203</v>
      </c>
      <c r="G932" s="9">
        <f t="shared" si="180"/>
        <v>9</v>
      </c>
      <c r="H932" s="10"/>
      <c r="I932" s="10"/>
      <c r="J932" s="10"/>
      <c r="K932" s="11">
        <f t="shared" si="181"/>
        <v>0</v>
      </c>
      <c r="L932" s="11">
        <f t="shared" si="182"/>
        <v>0</v>
      </c>
      <c r="M932" s="12" t="str">
        <f t="shared" si="183"/>
        <v/>
      </c>
      <c r="N932" s="11">
        <f t="shared" si="184"/>
        <v>0</v>
      </c>
      <c r="O932" s="12" t="str">
        <f t="shared" si="185"/>
        <v/>
      </c>
      <c r="P932" s="12" t="str">
        <f t="shared" si="186"/>
        <v/>
      </c>
      <c r="Q932" s="13" t="str">
        <f t="shared" si="178"/>
        <v/>
      </c>
      <c r="R932" s="13" t="str">
        <f t="shared" si="179"/>
        <v/>
      </c>
    </row>
    <row r="933" spans="1:18" ht="15.75" customHeight="1" x14ac:dyDescent="0.3">
      <c r="A933" s="7" t="s">
        <v>277</v>
      </c>
      <c r="B933" s="7" t="s">
        <v>41</v>
      </c>
      <c r="C933" s="24" t="s">
        <v>34</v>
      </c>
      <c r="D933" s="24" t="s">
        <v>39</v>
      </c>
      <c r="E933" s="8">
        <v>46195</v>
      </c>
      <c r="F933" s="8">
        <v>46203</v>
      </c>
      <c r="G933" s="9">
        <f t="shared" si="180"/>
        <v>9</v>
      </c>
      <c r="H933" s="10"/>
      <c r="I933" s="10"/>
      <c r="J933" s="10"/>
      <c r="K933" s="11">
        <f t="shared" si="181"/>
        <v>0</v>
      </c>
      <c r="L933" s="11">
        <f t="shared" si="182"/>
        <v>0</v>
      </c>
      <c r="M933" s="12" t="str">
        <f t="shared" si="183"/>
        <v/>
      </c>
      <c r="N933" s="11">
        <f t="shared" si="184"/>
        <v>0</v>
      </c>
      <c r="O933" s="12" t="str">
        <f t="shared" si="185"/>
        <v/>
      </c>
      <c r="P933" s="12" t="str">
        <f t="shared" si="186"/>
        <v/>
      </c>
      <c r="Q933" s="13" t="str">
        <f t="shared" si="178"/>
        <v/>
      </c>
      <c r="R933" s="13" t="str">
        <f t="shared" si="179"/>
        <v/>
      </c>
    </row>
    <row r="934" spans="1:18" ht="15.75" customHeight="1" x14ac:dyDescent="0.3">
      <c r="A934" s="7" t="s">
        <v>277</v>
      </c>
      <c r="B934" s="7" t="s">
        <v>42</v>
      </c>
      <c r="C934" s="24" t="s">
        <v>34</v>
      </c>
      <c r="D934" s="24" t="s">
        <v>39</v>
      </c>
      <c r="E934" s="8">
        <v>46195</v>
      </c>
      <c r="F934" s="8">
        <v>46203</v>
      </c>
      <c r="G934" s="9">
        <f t="shared" si="180"/>
        <v>9</v>
      </c>
      <c r="H934" s="10"/>
      <c r="I934" s="10"/>
      <c r="J934" s="10"/>
      <c r="K934" s="11">
        <f t="shared" si="181"/>
        <v>0</v>
      </c>
      <c r="L934" s="11">
        <f t="shared" si="182"/>
        <v>0</v>
      </c>
      <c r="M934" s="12" t="str">
        <f t="shared" si="183"/>
        <v/>
      </c>
      <c r="N934" s="11">
        <f t="shared" si="184"/>
        <v>0</v>
      </c>
      <c r="O934" s="12" t="str">
        <f t="shared" si="185"/>
        <v/>
      </c>
      <c r="P934" s="12" t="str">
        <f t="shared" si="186"/>
        <v/>
      </c>
      <c r="Q934" s="13" t="str">
        <f t="shared" si="178"/>
        <v/>
      </c>
      <c r="R934" s="13" t="str">
        <f t="shared" si="179"/>
        <v/>
      </c>
    </row>
    <row r="935" spans="1:18" ht="15.75" customHeight="1" x14ac:dyDescent="0.3">
      <c r="A935" s="7" t="s">
        <v>277</v>
      </c>
      <c r="B935" s="7" t="s">
        <v>182</v>
      </c>
      <c r="C935" s="24" t="s">
        <v>34</v>
      </c>
      <c r="D935" s="24" t="s">
        <v>76</v>
      </c>
      <c r="E935" s="8">
        <v>46195</v>
      </c>
      <c r="F935" s="8">
        <v>46203</v>
      </c>
      <c r="G935" s="9">
        <f t="shared" si="180"/>
        <v>9</v>
      </c>
      <c r="H935" s="10"/>
      <c r="I935" s="10"/>
      <c r="J935" s="10"/>
      <c r="K935" s="11">
        <f t="shared" si="181"/>
        <v>0</v>
      </c>
      <c r="L935" s="11">
        <f t="shared" si="182"/>
        <v>0</v>
      </c>
      <c r="M935" s="12" t="str">
        <f t="shared" si="183"/>
        <v/>
      </c>
      <c r="N935" s="11">
        <f t="shared" si="184"/>
        <v>0</v>
      </c>
      <c r="O935" s="12" t="str">
        <f t="shared" si="185"/>
        <v/>
      </c>
      <c r="P935" s="12" t="str">
        <f t="shared" si="186"/>
        <v/>
      </c>
      <c r="Q935" s="13" t="str">
        <f t="shared" si="178"/>
        <v/>
      </c>
      <c r="R935" s="13" t="str">
        <f t="shared" si="179"/>
        <v/>
      </c>
    </row>
    <row r="936" spans="1:18" ht="15.75" customHeight="1" x14ac:dyDescent="0.3">
      <c r="A936" s="7" t="s">
        <v>277</v>
      </c>
      <c r="B936" s="7" t="s">
        <v>231</v>
      </c>
      <c r="C936" s="24" t="s">
        <v>34</v>
      </c>
      <c r="D936" s="24" t="s">
        <v>44</v>
      </c>
      <c r="E936" s="8">
        <v>46195</v>
      </c>
      <c r="F936" s="8">
        <v>46203</v>
      </c>
      <c r="G936" s="9">
        <f t="shared" si="180"/>
        <v>9</v>
      </c>
      <c r="H936" s="10"/>
      <c r="I936" s="10"/>
      <c r="J936" s="10"/>
      <c r="K936" s="11">
        <f t="shared" si="181"/>
        <v>0</v>
      </c>
      <c r="L936" s="11">
        <f t="shared" si="182"/>
        <v>0</v>
      </c>
      <c r="M936" s="12" t="str">
        <f t="shared" si="183"/>
        <v/>
      </c>
      <c r="N936" s="11">
        <f t="shared" si="184"/>
        <v>0</v>
      </c>
      <c r="O936" s="12" t="str">
        <f t="shared" si="185"/>
        <v/>
      </c>
      <c r="P936" s="12" t="str">
        <f t="shared" si="186"/>
        <v/>
      </c>
      <c r="Q936" s="13" t="str">
        <f t="shared" si="178"/>
        <v/>
      </c>
      <c r="R936" s="13" t="str">
        <f t="shared" si="179"/>
        <v/>
      </c>
    </row>
    <row r="937" spans="1:18" ht="15.75" customHeight="1" x14ac:dyDescent="0.3">
      <c r="A937" s="7" t="s">
        <v>277</v>
      </c>
      <c r="B937" s="7" t="s">
        <v>278</v>
      </c>
      <c r="C937" s="24" t="s">
        <v>34</v>
      </c>
      <c r="D937" s="24" t="s">
        <v>433</v>
      </c>
      <c r="E937" s="8">
        <v>46195</v>
      </c>
      <c r="F937" s="8">
        <v>46203</v>
      </c>
      <c r="G937" s="9">
        <f t="shared" si="180"/>
        <v>9</v>
      </c>
      <c r="H937" s="10"/>
      <c r="I937" s="10"/>
      <c r="J937" s="10"/>
      <c r="K937" s="11">
        <f t="shared" si="181"/>
        <v>0</v>
      </c>
      <c r="L937" s="11">
        <f t="shared" si="182"/>
        <v>0</v>
      </c>
      <c r="M937" s="12" t="str">
        <f t="shared" si="183"/>
        <v/>
      </c>
      <c r="N937" s="11">
        <f t="shared" si="184"/>
        <v>0</v>
      </c>
      <c r="O937" s="12" t="str">
        <f t="shared" si="185"/>
        <v/>
      </c>
      <c r="P937" s="12" t="str">
        <f t="shared" si="186"/>
        <v/>
      </c>
      <c r="Q937" s="13" t="str">
        <f t="shared" si="178"/>
        <v/>
      </c>
      <c r="R937" s="13" t="str">
        <f t="shared" si="179"/>
        <v/>
      </c>
    </row>
    <row r="938" spans="1:18" ht="15.75" customHeight="1" x14ac:dyDescent="0.3">
      <c r="A938" s="7" t="s">
        <v>277</v>
      </c>
      <c r="B938" s="7" t="s">
        <v>119</v>
      </c>
      <c r="C938" s="24" t="s">
        <v>47</v>
      </c>
      <c r="D938" s="24" t="s">
        <v>48</v>
      </c>
      <c r="E938" s="8">
        <v>46195</v>
      </c>
      <c r="F938" s="8">
        <v>46203</v>
      </c>
      <c r="G938" s="9">
        <f t="shared" si="180"/>
        <v>9</v>
      </c>
      <c r="H938" s="10"/>
      <c r="I938" s="10"/>
      <c r="J938" s="10"/>
      <c r="K938" s="11">
        <f t="shared" si="181"/>
        <v>0</v>
      </c>
      <c r="L938" s="11">
        <f t="shared" si="182"/>
        <v>0</v>
      </c>
      <c r="M938" s="12" t="str">
        <f t="shared" si="183"/>
        <v/>
      </c>
      <c r="N938" s="11">
        <f t="shared" si="184"/>
        <v>0</v>
      </c>
      <c r="O938" s="12" t="str">
        <f t="shared" si="185"/>
        <v/>
      </c>
      <c r="P938" s="12" t="str">
        <f t="shared" si="186"/>
        <v/>
      </c>
      <c r="Q938" s="13" t="str">
        <f t="shared" si="178"/>
        <v/>
      </c>
      <c r="R938" s="13" t="str">
        <f t="shared" si="179"/>
        <v/>
      </c>
    </row>
    <row r="939" spans="1:18" ht="15.75" customHeight="1" x14ac:dyDescent="0.3">
      <c r="A939" s="7" t="s">
        <v>277</v>
      </c>
      <c r="B939" s="7" t="s">
        <v>120</v>
      </c>
      <c r="C939" s="24" t="s">
        <v>47</v>
      </c>
      <c r="D939" s="24" t="s">
        <v>48</v>
      </c>
      <c r="E939" s="8">
        <v>46195</v>
      </c>
      <c r="F939" s="8">
        <v>46203</v>
      </c>
      <c r="G939" s="9">
        <f t="shared" si="180"/>
        <v>9</v>
      </c>
      <c r="H939" s="10"/>
      <c r="I939" s="10"/>
      <c r="J939" s="10"/>
      <c r="K939" s="11">
        <f t="shared" si="181"/>
        <v>0</v>
      </c>
      <c r="L939" s="11">
        <f t="shared" si="182"/>
        <v>0</v>
      </c>
      <c r="M939" s="12" t="str">
        <f t="shared" si="183"/>
        <v/>
      </c>
      <c r="N939" s="11">
        <f t="shared" si="184"/>
        <v>0</v>
      </c>
      <c r="O939" s="12" t="str">
        <f t="shared" si="185"/>
        <v/>
      </c>
      <c r="P939" s="12" t="str">
        <f t="shared" si="186"/>
        <v/>
      </c>
      <c r="Q939" s="13" t="str">
        <f t="shared" si="178"/>
        <v/>
      </c>
      <c r="R939" s="13" t="str">
        <f t="shared" si="179"/>
        <v/>
      </c>
    </row>
    <row r="940" spans="1:18" ht="15.75" customHeight="1" x14ac:dyDescent="0.3">
      <c r="A940" s="7" t="s">
        <v>277</v>
      </c>
      <c r="B940" s="7" t="s">
        <v>95</v>
      </c>
      <c r="C940" s="24" t="s">
        <v>47</v>
      </c>
      <c r="D940" s="24" t="s">
        <v>48</v>
      </c>
      <c r="E940" s="8">
        <v>46195</v>
      </c>
      <c r="F940" s="8">
        <v>46203</v>
      </c>
      <c r="G940" s="9">
        <f t="shared" si="180"/>
        <v>9</v>
      </c>
      <c r="H940" s="10"/>
      <c r="I940" s="10"/>
      <c r="J940" s="10"/>
      <c r="K940" s="11">
        <f t="shared" si="181"/>
        <v>0</v>
      </c>
      <c r="L940" s="11">
        <f t="shared" si="182"/>
        <v>0</v>
      </c>
      <c r="M940" s="12" t="str">
        <f t="shared" si="183"/>
        <v/>
      </c>
      <c r="N940" s="11">
        <f t="shared" si="184"/>
        <v>0</v>
      </c>
      <c r="O940" s="12" t="str">
        <f t="shared" si="185"/>
        <v/>
      </c>
      <c r="P940" s="12" t="str">
        <f t="shared" si="186"/>
        <v/>
      </c>
      <c r="Q940" s="13" t="str">
        <f t="shared" si="178"/>
        <v/>
      </c>
      <c r="R940" s="13" t="str">
        <f t="shared" si="179"/>
        <v/>
      </c>
    </row>
    <row r="941" spans="1:18" ht="15.75" customHeight="1" x14ac:dyDescent="0.3">
      <c r="A941" s="7" t="s">
        <v>277</v>
      </c>
      <c r="B941" s="7" t="s">
        <v>96</v>
      </c>
      <c r="C941" s="24" t="s">
        <v>47</v>
      </c>
      <c r="D941" s="24" t="s">
        <v>48</v>
      </c>
      <c r="E941" s="8">
        <v>46195</v>
      </c>
      <c r="F941" s="8">
        <v>46203</v>
      </c>
      <c r="G941" s="9">
        <f t="shared" si="180"/>
        <v>9</v>
      </c>
      <c r="H941" s="10"/>
      <c r="I941" s="10"/>
      <c r="J941" s="10"/>
      <c r="K941" s="11">
        <f t="shared" si="181"/>
        <v>0</v>
      </c>
      <c r="L941" s="11">
        <f t="shared" si="182"/>
        <v>0</v>
      </c>
      <c r="M941" s="12" t="str">
        <f t="shared" si="183"/>
        <v/>
      </c>
      <c r="N941" s="11">
        <f t="shared" si="184"/>
        <v>0</v>
      </c>
      <c r="O941" s="12" t="str">
        <f t="shared" si="185"/>
        <v/>
      </c>
      <c r="P941" s="12" t="str">
        <f t="shared" si="186"/>
        <v/>
      </c>
      <c r="Q941" s="13" t="str">
        <f t="shared" ref="Q941:Q1004" si="187">IFERROR((I941/H941)*K941,"")</f>
        <v/>
      </c>
      <c r="R941" s="13" t="str">
        <f t="shared" ref="R941:R1004" si="188">IFERROR((J941/H941)*K941,"")</f>
        <v/>
      </c>
    </row>
    <row r="942" spans="1:18" ht="15.75" customHeight="1" x14ac:dyDescent="0.3">
      <c r="A942" s="7" t="s">
        <v>277</v>
      </c>
      <c r="B942" s="7" t="s">
        <v>54</v>
      </c>
      <c r="C942" s="24" t="s">
        <v>47</v>
      </c>
      <c r="D942" s="24" t="s">
        <v>53</v>
      </c>
      <c r="E942" s="8">
        <v>46195</v>
      </c>
      <c r="F942" s="8">
        <v>46203</v>
      </c>
      <c r="G942" s="9">
        <f t="shared" si="180"/>
        <v>9</v>
      </c>
      <c r="H942" s="10"/>
      <c r="I942" s="10"/>
      <c r="J942" s="10"/>
      <c r="K942" s="11">
        <f t="shared" si="181"/>
        <v>0</v>
      </c>
      <c r="L942" s="11">
        <f t="shared" si="182"/>
        <v>0</v>
      </c>
      <c r="M942" s="12" t="str">
        <f t="shared" si="183"/>
        <v/>
      </c>
      <c r="N942" s="11">
        <f t="shared" si="184"/>
        <v>0</v>
      </c>
      <c r="O942" s="12" t="str">
        <f t="shared" si="185"/>
        <v/>
      </c>
      <c r="P942" s="12" t="str">
        <f t="shared" si="186"/>
        <v/>
      </c>
      <c r="Q942" s="13" t="str">
        <f t="shared" si="187"/>
        <v/>
      </c>
      <c r="R942" s="13" t="str">
        <f t="shared" si="188"/>
        <v/>
      </c>
    </row>
    <row r="943" spans="1:18" ht="15.75" customHeight="1" x14ac:dyDescent="0.3">
      <c r="A943" s="7" t="s">
        <v>277</v>
      </c>
      <c r="B943" s="7" t="s">
        <v>279</v>
      </c>
      <c r="C943" s="24" t="s">
        <v>47</v>
      </c>
      <c r="D943" s="24" t="s">
        <v>433</v>
      </c>
      <c r="E943" s="8">
        <v>46195</v>
      </c>
      <c r="F943" s="8">
        <v>46203</v>
      </c>
      <c r="G943" s="9">
        <f t="shared" si="180"/>
        <v>9</v>
      </c>
      <c r="H943" s="10"/>
      <c r="I943" s="10"/>
      <c r="J943" s="10"/>
      <c r="K943" s="11">
        <f t="shared" si="181"/>
        <v>0</v>
      </c>
      <c r="L943" s="11">
        <f t="shared" si="182"/>
        <v>0</v>
      </c>
      <c r="M943" s="12" t="str">
        <f t="shared" si="183"/>
        <v/>
      </c>
      <c r="N943" s="11">
        <f t="shared" si="184"/>
        <v>0</v>
      </c>
      <c r="O943" s="12" t="str">
        <f t="shared" si="185"/>
        <v/>
      </c>
      <c r="P943" s="12" t="str">
        <f t="shared" si="186"/>
        <v/>
      </c>
      <c r="Q943" s="13" t="str">
        <f t="shared" si="187"/>
        <v/>
      </c>
      <c r="R943" s="13" t="str">
        <f t="shared" si="188"/>
        <v/>
      </c>
    </row>
    <row r="944" spans="1:18" ht="15.75" customHeight="1" x14ac:dyDescent="0.3">
      <c r="A944" s="7" t="s">
        <v>277</v>
      </c>
      <c r="B944" s="7" t="s">
        <v>280</v>
      </c>
      <c r="C944" s="24" t="s">
        <v>47</v>
      </c>
      <c r="D944" s="24" t="s">
        <v>433</v>
      </c>
      <c r="E944" s="8">
        <v>46195</v>
      </c>
      <c r="F944" s="8">
        <v>46203</v>
      </c>
      <c r="G944" s="9">
        <f t="shared" si="180"/>
        <v>9</v>
      </c>
      <c r="H944" s="10"/>
      <c r="I944" s="10"/>
      <c r="J944" s="10"/>
      <c r="K944" s="11">
        <f t="shared" si="181"/>
        <v>0</v>
      </c>
      <c r="L944" s="11">
        <f t="shared" si="182"/>
        <v>0</v>
      </c>
      <c r="M944" s="12" t="str">
        <f t="shared" si="183"/>
        <v/>
      </c>
      <c r="N944" s="11">
        <f t="shared" si="184"/>
        <v>0</v>
      </c>
      <c r="O944" s="12" t="str">
        <f t="shared" si="185"/>
        <v/>
      </c>
      <c r="P944" s="12" t="str">
        <f t="shared" si="186"/>
        <v/>
      </c>
      <c r="Q944" s="13" t="str">
        <f t="shared" si="187"/>
        <v/>
      </c>
      <c r="R944" s="13" t="str">
        <f t="shared" si="188"/>
        <v/>
      </c>
    </row>
    <row r="945" spans="1:18" ht="15.75" customHeight="1" x14ac:dyDescent="0.3">
      <c r="A945" s="7" t="s">
        <v>277</v>
      </c>
      <c r="B945" s="7" t="s">
        <v>157</v>
      </c>
      <c r="C945" s="24" t="s">
        <v>47</v>
      </c>
      <c r="D945" s="24" t="s">
        <v>53</v>
      </c>
      <c r="E945" s="8">
        <v>46195</v>
      </c>
      <c r="F945" s="8">
        <v>46203</v>
      </c>
      <c r="G945" s="9">
        <f t="shared" si="180"/>
        <v>9</v>
      </c>
      <c r="H945" s="10"/>
      <c r="I945" s="10"/>
      <c r="J945" s="10"/>
      <c r="K945" s="11">
        <f t="shared" si="181"/>
        <v>0</v>
      </c>
      <c r="L945" s="11">
        <f t="shared" si="182"/>
        <v>0</v>
      </c>
      <c r="M945" s="12" t="str">
        <f t="shared" si="183"/>
        <v/>
      </c>
      <c r="N945" s="11">
        <f t="shared" si="184"/>
        <v>0</v>
      </c>
      <c r="O945" s="12" t="str">
        <f t="shared" si="185"/>
        <v/>
      </c>
      <c r="P945" s="12" t="str">
        <f t="shared" si="186"/>
        <v/>
      </c>
      <c r="Q945" s="13" t="str">
        <f t="shared" si="187"/>
        <v/>
      </c>
      <c r="R945" s="13" t="str">
        <f t="shared" si="188"/>
        <v/>
      </c>
    </row>
    <row r="946" spans="1:18" ht="15.75" customHeight="1" x14ac:dyDescent="0.3">
      <c r="A946" s="7" t="s">
        <v>277</v>
      </c>
      <c r="B946" s="7" t="s">
        <v>158</v>
      </c>
      <c r="C946" s="24" t="s">
        <v>47</v>
      </c>
      <c r="D946" s="24" t="s">
        <v>53</v>
      </c>
      <c r="E946" s="8">
        <v>46195</v>
      </c>
      <c r="F946" s="8">
        <v>46203</v>
      </c>
      <c r="G946" s="9">
        <f t="shared" si="180"/>
        <v>9</v>
      </c>
      <c r="H946" s="10"/>
      <c r="I946" s="10"/>
      <c r="J946" s="10"/>
      <c r="K946" s="11">
        <f t="shared" si="181"/>
        <v>0</v>
      </c>
      <c r="L946" s="11">
        <f t="shared" si="182"/>
        <v>0</v>
      </c>
      <c r="M946" s="12" t="str">
        <f t="shared" si="183"/>
        <v/>
      </c>
      <c r="N946" s="11">
        <f t="shared" si="184"/>
        <v>0</v>
      </c>
      <c r="O946" s="12" t="str">
        <f t="shared" si="185"/>
        <v/>
      </c>
      <c r="P946" s="12" t="str">
        <f t="shared" si="186"/>
        <v/>
      </c>
      <c r="Q946" s="13" t="str">
        <f t="shared" si="187"/>
        <v/>
      </c>
      <c r="R946" s="13" t="str">
        <f t="shared" si="188"/>
        <v/>
      </c>
    </row>
    <row r="947" spans="1:18" ht="15.75" customHeight="1" x14ac:dyDescent="0.3">
      <c r="A947" s="7" t="s">
        <v>277</v>
      </c>
      <c r="B947" s="7" t="s">
        <v>191</v>
      </c>
      <c r="C947" s="24" t="s">
        <v>58</v>
      </c>
      <c r="D947" s="24" t="s">
        <v>61</v>
      </c>
      <c r="E947" s="8">
        <v>46195</v>
      </c>
      <c r="F947" s="8">
        <v>46203</v>
      </c>
      <c r="G947" s="9">
        <f t="shared" ref="G947:G1010" si="189">F947-E947+1</f>
        <v>9</v>
      </c>
      <c r="H947" s="10"/>
      <c r="I947" s="10"/>
      <c r="J947" s="10"/>
      <c r="K947" s="11">
        <f t="shared" si="181"/>
        <v>0</v>
      </c>
      <c r="L947" s="11">
        <f t="shared" si="182"/>
        <v>0</v>
      </c>
      <c r="M947" s="12" t="str">
        <f t="shared" si="183"/>
        <v/>
      </c>
      <c r="N947" s="11">
        <f t="shared" si="184"/>
        <v>0</v>
      </c>
      <c r="O947" s="12" t="str">
        <f t="shared" si="185"/>
        <v/>
      </c>
      <c r="P947" s="12" t="str">
        <f t="shared" si="186"/>
        <v/>
      </c>
      <c r="Q947" s="13" t="str">
        <f t="shared" si="187"/>
        <v/>
      </c>
      <c r="R947" s="13" t="str">
        <f t="shared" si="188"/>
        <v/>
      </c>
    </row>
    <row r="948" spans="1:18" ht="15.75" customHeight="1" x14ac:dyDescent="0.3">
      <c r="A948" s="7" t="s">
        <v>277</v>
      </c>
      <c r="B948" s="7" t="s">
        <v>192</v>
      </c>
      <c r="C948" s="24" t="s">
        <v>58</v>
      </c>
      <c r="D948" s="24" t="s">
        <v>193</v>
      </c>
      <c r="E948" s="8">
        <v>46195</v>
      </c>
      <c r="F948" s="8">
        <v>46203</v>
      </c>
      <c r="G948" s="9">
        <f t="shared" si="189"/>
        <v>9</v>
      </c>
      <c r="H948" s="10"/>
      <c r="I948" s="10"/>
      <c r="J948" s="10"/>
      <c r="K948" s="11">
        <f t="shared" si="181"/>
        <v>0</v>
      </c>
      <c r="L948" s="11">
        <f t="shared" si="182"/>
        <v>0</v>
      </c>
      <c r="M948" s="12" t="str">
        <f t="shared" si="183"/>
        <v/>
      </c>
      <c r="N948" s="11">
        <f t="shared" si="184"/>
        <v>0</v>
      </c>
      <c r="O948" s="12" t="str">
        <f t="shared" si="185"/>
        <v/>
      </c>
      <c r="P948" s="12" t="str">
        <f t="shared" si="186"/>
        <v/>
      </c>
      <c r="Q948" s="13" t="str">
        <f t="shared" si="187"/>
        <v/>
      </c>
      <c r="R948" s="13" t="str">
        <f t="shared" si="188"/>
        <v/>
      </c>
    </row>
    <row r="949" spans="1:18" ht="15.75" customHeight="1" x14ac:dyDescent="0.3">
      <c r="A949" s="7" t="s">
        <v>277</v>
      </c>
      <c r="B949" s="7" t="s">
        <v>194</v>
      </c>
      <c r="C949" s="24" t="s">
        <v>58</v>
      </c>
      <c r="D949" s="24" t="s">
        <v>103</v>
      </c>
      <c r="E949" s="8">
        <v>46195</v>
      </c>
      <c r="F949" s="8">
        <v>46203</v>
      </c>
      <c r="G949" s="9">
        <f t="shared" si="189"/>
        <v>9</v>
      </c>
      <c r="H949" s="10"/>
      <c r="I949" s="10"/>
      <c r="J949" s="10"/>
      <c r="K949" s="11">
        <f t="shared" si="181"/>
        <v>0</v>
      </c>
      <c r="L949" s="11">
        <f t="shared" si="182"/>
        <v>0</v>
      </c>
      <c r="M949" s="12" t="str">
        <f t="shared" si="183"/>
        <v/>
      </c>
      <c r="N949" s="11">
        <f t="shared" si="184"/>
        <v>0</v>
      </c>
      <c r="O949" s="12" t="str">
        <f t="shared" si="185"/>
        <v/>
      </c>
      <c r="P949" s="12" t="str">
        <f t="shared" si="186"/>
        <v/>
      </c>
      <c r="Q949" s="13" t="str">
        <f t="shared" si="187"/>
        <v/>
      </c>
      <c r="R949" s="13" t="str">
        <f t="shared" si="188"/>
        <v/>
      </c>
    </row>
    <row r="950" spans="1:18" ht="15.75" customHeight="1" x14ac:dyDescent="0.3">
      <c r="A950" s="7" t="s">
        <v>277</v>
      </c>
      <c r="B950" s="7" t="s">
        <v>243</v>
      </c>
      <c r="C950" s="24" t="s">
        <v>58</v>
      </c>
      <c r="D950" s="24" t="s">
        <v>193</v>
      </c>
      <c r="E950" s="8">
        <v>46195</v>
      </c>
      <c r="F950" s="8">
        <v>46203</v>
      </c>
      <c r="G950" s="9">
        <f t="shared" si="189"/>
        <v>9</v>
      </c>
      <c r="H950" s="10"/>
      <c r="I950" s="10"/>
      <c r="J950" s="10"/>
      <c r="K950" s="11">
        <f t="shared" si="181"/>
        <v>0</v>
      </c>
      <c r="L950" s="11">
        <f t="shared" si="182"/>
        <v>0</v>
      </c>
      <c r="M950" s="12" t="str">
        <f t="shared" si="183"/>
        <v/>
      </c>
      <c r="N950" s="11">
        <f t="shared" si="184"/>
        <v>0</v>
      </c>
      <c r="O950" s="12" t="str">
        <f t="shared" si="185"/>
        <v/>
      </c>
      <c r="P950" s="12" t="str">
        <f t="shared" si="186"/>
        <v/>
      </c>
      <c r="Q950" s="13" t="str">
        <f t="shared" si="187"/>
        <v/>
      </c>
      <c r="R950" s="13" t="str">
        <f t="shared" si="188"/>
        <v/>
      </c>
    </row>
    <row r="951" spans="1:18" ht="15.75" customHeight="1" x14ac:dyDescent="0.3">
      <c r="A951" s="7" t="s">
        <v>277</v>
      </c>
      <c r="B951" s="7" t="s">
        <v>153</v>
      </c>
      <c r="C951" s="24" t="s">
        <v>58</v>
      </c>
      <c r="D951" s="24" t="s">
        <v>61</v>
      </c>
      <c r="E951" s="8">
        <v>46195</v>
      </c>
      <c r="F951" s="8">
        <v>46203</v>
      </c>
      <c r="G951" s="9">
        <f t="shared" si="189"/>
        <v>9</v>
      </c>
      <c r="H951" s="10"/>
      <c r="I951" s="10"/>
      <c r="J951" s="10"/>
      <c r="K951" s="11">
        <f t="shared" si="181"/>
        <v>0</v>
      </c>
      <c r="L951" s="11">
        <f t="shared" si="182"/>
        <v>0</v>
      </c>
      <c r="M951" s="12" t="str">
        <f t="shared" si="183"/>
        <v/>
      </c>
      <c r="N951" s="11">
        <f t="shared" si="184"/>
        <v>0</v>
      </c>
      <c r="O951" s="12" t="str">
        <f t="shared" si="185"/>
        <v/>
      </c>
      <c r="P951" s="12" t="str">
        <f t="shared" si="186"/>
        <v/>
      </c>
      <c r="Q951" s="13" t="str">
        <f t="shared" si="187"/>
        <v/>
      </c>
      <c r="R951" s="13" t="str">
        <f t="shared" si="188"/>
        <v/>
      </c>
    </row>
    <row r="952" spans="1:18" ht="15.75" customHeight="1" x14ac:dyDescent="0.3">
      <c r="A952" s="7" t="s">
        <v>277</v>
      </c>
      <c r="B952" s="7" t="s">
        <v>154</v>
      </c>
      <c r="C952" s="24" t="s">
        <v>58</v>
      </c>
      <c r="D952" s="24" t="s">
        <v>107</v>
      </c>
      <c r="E952" s="8">
        <v>46195</v>
      </c>
      <c r="F952" s="8">
        <v>46203</v>
      </c>
      <c r="G952" s="9">
        <f t="shared" si="189"/>
        <v>9</v>
      </c>
      <c r="H952" s="10"/>
      <c r="I952" s="10"/>
      <c r="J952" s="10"/>
      <c r="K952" s="11">
        <f t="shared" ref="K952:K1015" si="190">IFERROR(H952/G952,"")</f>
        <v>0</v>
      </c>
      <c r="L952" s="11">
        <f t="shared" ref="L952:L1015" si="191">IFERROR(I952/G952,"")</f>
        <v>0</v>
      </c>
      <c r="M952" s="12" t="str">
        <f t="shared" ref="M952:M1015" si="192">IFERROR(I952/H952,"")</f>
        <v/>
      </c>
      <c r="N952" s="11">
        <f t="shared" ref="N952:N1015" si="193">IFERROR(J952/G952,"")</f>
        <v>0</v>
      </c>
      <c r="O952" s="12" t="str">
        <f t="shared" ref="O952:O1015" si="194">IFERROR(J952/I952,"")</f>
        <v/>
      </c>
      <c r="P952" s="12" t="str">
        <f t="shared" ref="P952:P1015" si="195">IFERROR(J952/H952,"")</f>
        <v/>
      </c>
      <c r="Q952" s="13" t="str">
        <f t="shared" si="187"/>
        <v/>
      </c>
      <c r="R952" s="13" t="str">
        <f t="shared" si="188"/>
        <v/>
      </c>
    </row>
    <row r="953" spans="1:18" ht="15.75" customHeight="1" x14ac:dyDescent="0.3">
      <c r="A953" s="7" t="s">
        <v>277</v>
      </c>
      <c r="B953" s="7" t="s">
        <v>196</v>
      </c>
      <c r="C953" s="24" t="s">
        <v>58</v>
      </c>
      <c r="D953" s="24" t="s">
        <v>66</v>
      </c>
      <c r="E953" s="8">
        <v>46195</v>
      </c>
      <c r="F953" s="8">
        <v>46203</v>
      </c>
      <c r="G953" s="9">
        <f t="shared" si="189"/>
        <v>9</v>
      </c>
      <c r="H953" s="10"/>
      <c r="I953" s="10"/>
      <c r="J953" s="10"/>
      <c r="K953" s="11">
        <f t="shared" si="190"/>
        <v>0</v>
      </c>
      <c r="L953" s="11">
        <f t="shared" si="191"/>
        <v>0</v>
      </c>
      <c r="M953" s="12" t="str">
        <f t="shared" si="192"/>
        <v/>
      </c>
      <c r="N953" s="11">
        <f t="shared" si="193"/>
        <v>0</v>
      </c>
      <c r="O953" s="12" t="str">
        <f t="shared" si="194"/>
        <v/>
      </c>
      <c r="P953" s="12" t="str">
        <f t="shared" si="195"/>
        <v/>
      </c>
      <c r="Q953" s="13" t="str">
        <f t="shared" si="187"/>
        <v/>
      </c>
      <c r="R953" s="13" t="str">
        <f t="shared" si="188"/>
        <v/>
      </c>
    </row>
    <row r="954" spans="1:18" ht="15.75" customHeight="1" x14ac:dyDescent="0.3">
      <c r="A954" s="7" t="s">
        <v>277</v>
      </c>
      <c r="B954" s="7" t="s">
        <v>197</v>
      </c>
      <c r="C954" s="24" t="s">
        <v>58</v>
      </c>
      <c r="D954" s="24" t="s">
        <v>68</v>
      </c>
      <c r="E954" s="8">
        <v>46195</v>
      </c>
      <c r="F954" s="8">
        <v>46203</v>
      </c>
      <c r="G954" s="9">
        <f t="shared" si="189"/>
        <v>9</v>
      </c>
      <c r="H954" s="10"/>
      <c r="I954" s="10"/>
      <c r="J954" s="10"/>
      <c r="K954" s="11">
        <f t="shared" si="190"/>
        <v>0</v>
      </c>
      <c r="L954" s="11">
        <f t="shared" si="191"/>
        <v>0</v>
      </c>
      <c r="M954" s="12" t="str">
        <f t="shared" si="192"/>
        <v/>
      </c>
      <c r="N954" s="11">
        <f t="shared" si="193"/>
        <v>0</v>
      </c>
      <c r="O954" s="12" t="str">
        <f t="shared" si="194"/>
        <v/>
      </c>
      <c r="P954" s="12" t="str">
        <f t="shared" si="195"/>
        <v/>
      </c>
      <c r="Q954" s="13" t="str">
        <f t="shared" si="187"/>
        <v/>
      </c>
      <c r="R954" s="13" t="str">
        <f t="shared" si="188"/>
        <v/>
      </c>
    </row>
    <row r="955" spans="1:18" ht="15.75" customHeight="1" x14ac:dyDescent="0.3">
      <c r="A955" s="7" t="s">
        <v>277</v>
      </c>
      <c r="B955" s="7" t="s">
        <v>69</v>
      </c>
      <c r="C955" s="24" t="s">
        <v>58</v>
      </c>
      <c r="D955" s="24" t="s">
        <v>66</v>
      </c>
      <c r="E955" s="8">
        <v>46195</v>
      </c>
      <c r="F955" s="8">
        <v>46203</v>
      </c>
      <c r="G955" s="9">
        <f t="shared" si="189"/>
        <v>9</v>
      </c>
      <c r="H955" s="10"/>
      <c r="I955" s="10"/>
      <c r="J955" s="10"/>
      <c r="K955" s="11">
        <f t="shared" si="190"/>
        <v>0</v>
      </c>
      <c r="L955" s="11">
        <f t="shared" si="191"/>
        <v>0</v>
      </c>
      <c r="M955" s="12" t="str">
        <f t="shared" si="192"/>
        <v/>
      </c>
      <c r="N955" s="11">
        <f t="shared" si="193"/>
        <v>0</v>
      </c>
      <c r="O955" s="12" t="str">
        <f t="shared" si="194"/>
        <v/>
      </c>
      <c r="P955" s="12" t="str">
        <f t="shared" si="195"/>
        <v/>
      </c>
      <c r="Q955" s="13" t="str">
        <f t="shared" si="187"/>
        <v/>
      </c>
      <c r="R955" s="13" t="str">
        <f t="shared" si="188"/>
        <v/>
      </c>
    </row>
    <row r="956" spans="1:18" ht="15.75" customHeight="1" x14ac:dyDescent="0.3">
      <c r="A956" s="7" t="s">
        <v>277</v>
      </c>
      <c r="B956" s="7" t="s">
        <v>70</v>
      </c>
      <c r="C956" s="24" t="s">
        <v>58</v>
      </c>
      <c r="D956" s="24" t="s">
        <v>68</v>
      </c>
      <c r="E956" s="8">
        <v>46195</v>
      </c>
      <c r="F956" s="8">
        <v>46203</v>
      </c>
      <c r="G956" s="9">
        <f t="shared" si="189"/>
        <v>9</v>
      </c>
      <c r="H956" s="10"/>
      <c r="I956" s="10"/>
      <c r="J956" s="10"/>
      <c r="K956" s="11">
        <f t="shared" si="190"/>
        <v>0</v>
      </c>
      <c r="L956" s="11">
        <f t="shared" si="191"/>
        <v>0</v>
      </c>
      <c r="M956" s="12" t="str">
        <f t="shared" si="192"/>
        <v/>
      </c>
      <c r="N956" s="11">
        <f t="shared" si="193"/>
        <v>0</v>
      </c>
      <c r="O956" s="12" t="str">
        <f t="shared" si="194"/>
        <v/>
      </c>
      <c r="P956" s="12" t="str">
        <f t="shared" si="195"/>
        <v/>
      </c>
      <c r="Q956" s="13" t="str">
        <f t="shared" si="187"/>
        <v/>
      </c>
      <c r="R956" s="13" t="str">
        <f t="shared" si="188"/>
        <v/>
      </c>
    </row>
    <row r="957" spans="1:18" ht="15.75" customHeight="1" x14ac:dyDescent="0.3">
      <c r="A957" s="7" t="s">
        <v>277</v>
      </c>
      <c r="B957" s="7" t="s">
        <v>136</v>
      </c>
      <c r="C957" s="24" t="s">
        <v>58</v>
      </c>
      <c r="D957" s="24" t="s">
        <v>66</v>
      </c>
      <c r="E957" s="8">
        <v>46195</v>
      </c>
      <c r="F957" s="8">
        <v>46203</v>
      </c>
      <c r="G957" s="9">
        <f t="shared" si="189"/>
        <v>9</v>
      </c>
      <c r="H957" s="10"/>
      <c r="I957" s="10"/>
      <c r="J957" s="10"/>
      <c r="K957" s="11">
        <f t="shared" si="190"/>
        <v>0</v>
      </c>
      <c r="L957" s="11">
        <f t="shared" si="191"/>
        <v>0</v>
      </c>
      <c r="M957" s="12" t="str">
        <f t="shared" si="192"/>
        <v/>
      </c>
      <c r="N957" s="11">
        <f t="shared" si="193"/>
        <v>0</v>
      </c>
      <c r="O957" s="12" t="str">
        <f t="shared" si="194"/>
        <v/>
      </c>
      <c r="P957" s="12" t="str">
        <f t="shared" si="195"/>
        <v/>
      </c>
      <c r="Q957" s="13" t="str">
        <f t="shared" si="187"/>
        <v/>
      </c>
      <c r="R957" s="13" t="str">
        <f t="shared" si="188"/>
        <v/>
      </c>
    </row>
    <row r="958" spans="1:18" ht="15.75" customHeight="1" x14ac:dyDescent="0.3">
      <c r="A958" s="7" t="s">
        <v>277</v>
      </c>
      <c r="B958" s="7" t="s">
        <v>137</v>
      </c>
      <c r="C958" s="24" t="s">
        <v>58</v>
      </c>
      <c r="D958" s="24" t="s">
        <v>68</v>
      </c>
      <c r="E958" s="8">
        <v>46195</v>
      </c>
      <c r="F958" s="8">
        <v>46203</v>
      </c>
      <c r="G958" s="9">
        <f t="shared" si="189"/>
        <v>9</v>
      </c>
      <c r="H958" s="10"/>
      <c r="I958" s="10"/>
      <c r="J958" s="10"/>
      <c r="K958" s="11">
        <f t="shared" si="190"/>
        <v>0</v>
      </c>
      <c r="L958" s="11">
        <f t="shared" si="191"/>
        <v>0</v>
      </c>
      <c r="M958" s="12" t="str">
        <f t="shared" si="192"/>
        <v/>
      </c>
      <c r="N958" s="11">
        <f t="shared" si="193"/>
        <v>0</v>
      </c>
      <c r="O958" s="12" t="str">
        <f t="shared" si="194"/>
        <v/>
      </c>
      <c r="P958" s="12" t="str">
        <f t="shared" si="195"/>
        <v/>
      </c>
      <c r="Q958" s="13" t="str">
        <f t="shared" si="187"/>
        <v/>
      </c>
      <c r="R958" s="13" t="str">
        <f t="shared" si="188"/>
        <v/>
      </c>
    </row>
    <row r="959" spans="1:18" ht="15.75" customHeight="1" x14ac:dyDescent="0.3">
      <c r="A959" s="7" t="s">
        <v>277</v>
      </c>
      <c r="B959" s="7" t="s">
        <v>224</v>
      </c>
      <c r="C959" s="24" t="s">
        <v>58</v>
      </c>
      <c r="D959" s="24" t="s">
        <v>66</v>
      </c>
      <c r="E959" s="8">
        <v>46195</v>
      </c>
      <c r="F959" s="8">
        <v>46203</v>
      </c>
      <c r="G959" s="9">
        <f t="shared" si="189"/>
        <v>9</v>
      </c>
      <c r="H959" s="10"/>
      <c r="I959" s="10"/>
      <c r="J959" s="10"/>
      <c r="K959" s="11">
        <f t="shared" si="190"/>
        <v>0</v>
      </c>
      <c r="L959" s="11">
        <f t="shared" si="191"/>
        <v>0</v>
      </c>
      <c r="M959" s="12" t="str">
        <f t="shared" si="192"/>
        <v/>
      </c>
      <c r="N959" s="11">
        <f t="shared" si="193"/>
        <v>0</v>
      </c>
      <c r="O959" s="12" t="str">
        <f t="shared" si="194"/>
        <v/>
      </c>
      <c r="P959" s="12" t="str">
        <f t="shared" si="195"/>
        <v/>
      </c>
      <c r="Q959" s="13" t="str">
        <f t="shared" si="187"/>
        <v/>
      </c>
      <c r="R959" s="13" t="str">
        <f t="shared" si="188"/>
        <v/>
      </c>
    </row>
    <row r="960" spans="1:18" ht="15.75" customHeight="1" x14ac:dyDescent="0.3">
      <c r="A960" s="7" t="s">
        <v>277</v>
      </c>
      <c r="B960" s="7" t="s">
        <v>225</v>
      </c>
      <c r="C960" s="24" t="s">
        <v>58</v>
      </c>
      <c r="D960" s="24" t="s">
        <v>68</v>
      </c>
      <c r="E960" s="8">
        <v>46195</v>
      </c>
      <c r="F960" s="8">
        <v>46203</v>
      </c>
      <c r="G960" s="9">
        <f t="shared" si="189"/>
        <v>9</v>
      </c>
      <c r="H960" s="10"/>
      <c r="I960" s="10"/>
      <c r="J960" s="10"/>
      <c r="K960" s="11">
        <f t="shared" si="190"/>
        <v>0</v>
      </c>
      <c r="L960" s="11">
        <f t="shared" si="191"/>
        <v>0</v>
      </c>
      <c r="M960" s="12" t="str">
        <f t="shared" si="192"/>
        <v/>
      </c>
      <c r="N960" s="11">
        <f t="shared" si="193"/>
        <v>0</v>
      </c>
      <c r="O960" s="12" t="str">
        <f t="shared" si="194"/>
        <v/>
      </c>
      <c r="P960" s="12" t="str">
        <f t="shared" si="195"/>
        <v/>
      </c>
      <c r="Q960" s="13" t="str">
        <f t="shared" si="187"/>
        <v/>
      </c>
      <c r="R960" s="13" t="str">
        <f t="shared" si="188"/>
        <v/>
      </c>
    </row>
    <row r="961" spans="1:18" ht="15.75" customHeight="1" x14ac:dyDescent="0.3">
      <c r="A961" s="7" t="s">
        <v>277</v>
      </c>
      <c r="B961" s="7" t="s">
        <v>133</v>
      </c>
      <c r="C961" s="24" t="s">
        <v>58</v>
      </c>
      <c r="D961" s="24" t="s">
        <v>74</v>
      </c>
      <c r="E961" s="8">
        <v>46195</v>
      </c>
      <c r="F961" s="8">
        <v>46203</v>
      </c>
      <c r="G961" s="9">
        <f t="shared" si="189"/>
        <v>9</v>
      </c>
      <c r="H961" s="10"/>
      <c r="I961" s="10"/>
      <c r="J961" s="10"/>
      <c r="K961" s="11">
        <f t="shared" si="190"/>
        <v>0</v>
      </c>
      <c r="L961" s="11">
        <f t="shared" si="191"/>
        <v>0</v>
      </c>
      <c r="M961" s="12" t="str">
        <f t="shared" si="192"/>
        <v/>
      </c>
      <c r="N961" s="11">
        <f t="shared" si="193"/>
        <v>0</v>
      </c>
      <c r="O961" s="12" t="str">
        <f t="shared" si="194"/>
        <v/>
      </c>
      <c r="P961" s="12" t="str">
        <f t="shared" si="195"/>
        <v/>
      </c>
      <c r="Q961" s="13" t="str">
        <f t="shared" si="187"/>
        <v/>
      </c>
      <c r="R961" s="13" t="str">
        <f t="shared" si="188"/>
        <v/>
      </c>
    </row>
    <row r="962" spans="1:18" ht="15.75" customHeight="1" x14ac:dyDescent="0.3">
      <c r="A962" s="7" t="s">
        <v>277</v>
      </c>
      <c r="B962" s="7" t="s">
        <v>155</v>
      </c>
      <c r="C962" s="24" t="s">
        <v>58</v>
      </c>
      <c r="D962" s="24" t="s">
        <v>59</v>
      </c>
      <c r="E962" s="8">
        <v>46195</v>
      </c>
      <c r="F962" s="8">
        <v>46203</v>
      </c>
      <c r="G962" s="9">
        <f t="shared" si="189"/>
        <v>9</v>
      </c>
      <c r="H962" s="10"/>
      <c r="I962" s="10"/>
      <c r="J962" s="10"/>
      <c r="K962" s="11">
        <f t="shared" si="190"/>
        <v>0</v>
      </c>
      <c r="L962" s="11">
        <f t="shared" si="191"/>
        <v>0</v>
      </c>
      <c r="M962" s="12" t="str">
        <f t="shared" si="192"/>
        <v/>
      </c>
      <c r="N962" s="11">
        <f t="shared" si="193"/>
        <v>0</v>
      </c>
      <c r="O962" s="12" t="str">
        <f t="shared" si="194"/>
        <v/>
      </c>
      <c r="P962" s="12" t="str">
        <f t="shared" si="195"/>
        <v/>
      </c>
      <c r="Q962" s="13" t="str">
        <f t="shared" si="187"/>
        <v/>
      </c>
      <c r="R962" s="13" t="str">
        <f t="shared" si="188"/>
        <v/>
      </c>
    </row>
    <row r="963" spans="1:18" ht="15.75" customHeight="1" x14ac:dyDescent="0.3">
      <c r="A963" s="7" t="s">
        <v>277</v>
      </c>
      <c r="B963" s="7" t="s">
        <v>108</v>
      </c>
      <c r="C963" s="24" t="s">
        <v>58</v>
      </c>
      <c r="D963" s="24" t="s">
        <v>66</v>
      </c>
      <c r="E963" s="8">
        <v>46195</v>
      </c>
      <c r="F963" s="8">
        <v>46203</v>
      </c>
      <c r="G963" s="9">
        <f t="shared" si="189"/>
        <v>9</v>
      </c>
      <c r="H963" s="10"/>
      <c r="I963" s="10"/>
      <c r="J963" s="10"/>
      <c r="K963" s="11">
        <f t="shared" si="190"/>
        <v>0</v>
      </c>
      <c r="L963" s="11">
        <f t="shared" si="191"/>
        <v>0</v>
      </c>
      <c r="M963" s="12" t="str">
        <f t="shared" si="192"/>
        <v/>
      </c>
      <c r="N963" s="11">
        <f t="shared" si="193"/>
        <v>0</v>
      </c>
      <c r="O963" s="12" t="str">
        <f t="shared" si="194"/>
        <v/>
      </c>
      <c r="P963" s="12" t="str">
        <f t="shared" si="195"/>
        <v/>
      </c>
      <c r="Q963" s="13" t="str">
        <f t="shared" si="187"/>
        <v/>
      </c>
      <c r="R963" s="13" t="str">
        <f t="shared" si="188"/>
        <v/>
      </c>
    </row>
    <row r="964" spans="1:18" ht="15.75" customHeight="1" x14ac:dyDescent="0.3">
      <c r="A964" s="7" t="s">
        <v>277</v>
      </c>
      <c r="B964" s="7" t="s">
        <v>109</v>
      </c>
      <c r="C964" s="24" t="s">
        <v>58</v>
      </c>
      <c r="D964" s="24" t="s">
        <v>68</v>
      </c>
      <c r="E964" s="8">
        <v>46195</v>
      </c>
      <c r="F964" s="8">
        <v>46203</v>
      </c>
      <c r="G964" s="9">
        <f t="shared" si="189"/>
        <v>9</v>
      </c>
      <c r="H964" s="10"/>
      <c r="I964" s="10"/>
      <c r="J964" s="10"/>
      <c r="K964" s="11">
        <f t="shared" si="190"/>
        <v>0</v>
      </c>
      <c r="L964" s="11">
        <f t="shared" si="191"/>
        <v>0</v>
      </c>
      <c r="M964" s="12" t="str">
        <f t="shared" si="192"/>
        <v/>
      </c>
      <c r="N964" s="11">
        <f t="shared" si="193"/>
        <v>0</v>
      </c>
      <c r="O964" s="12" t="str">
        <f t="shared" si="194"/>
        <v/>
      </c>
      <c r="P964" s="12" t="str">
        <f t="shared" si="195"/>
        <v/>
      </c>
      <c r="Q964" s="13" t="str">
        <f t="shared" si="187"/>
        <v/>
      </c>
      <c r="R964" s="13" t="str">
        <f t="shared" si="188"/>
        <v/>
      </c>
    </row>
    <row r="965" spans="1:18" ht="15.75" customHeight="1" x14ac:dyDescent="0.3">
      <c r="A965" s="7" t="s">
        <v>277</v>
      </c>
      <c r="B965" s="7" t="s">
        <v>114</v>
      </c>
      <c r="C965" s="24" t="s">
        <v>58</v>
      </c>
      <c r="D965" s="24" t="s">
        <v>74</v>
      </c>
      <c r="E965" s="8">
        <v>46195</v>
      </c>
      <c r="F965" s="8">
        <v>46203</v>
      </c>
      <c r="G965" s="9">
        <f t="shared" si="189"/>
        <v>9</v>
      </c>
      <c r="H965" s="10"/>
      <c r="I965" s="10"/>
      <c r="J965" s="10"/>
      <c r="K965" s="11">
        <f t="shared" si="190"/>
        <v>0</v>
      </c>
      <c r="L965" s="11">
        <f t="shared" si="191"/>
        <v>0</v>
      </c>
      <c r="M965" s="12" t="str">
        <f t="shared" si="192"/>
        <v/>
      </c>
      <c r="N965" s="11">
        <f t="shared" si="193"/>
        <v>0</v>
      </c>
      <c r="O965" s="12" t="str">
        <f t="shared" si="194"/>
        <v/>
      </c>
      <c r="P965" s="12" t="str">
        <f t="shared" si="195"/>
        <v/>
      </c>
      <c r="Q965" s="13" t="str">
        <f t="shared" si="187"/>
        <v/>
      </c>
      <c r="R965" s="13" t="str">
        <f t="shared" si="188"/>
        <v/>
      </c>
    </row>
    <row r="966" spans="1:18" ht="15.75" customHeight="1" x14ac:dyDescent="0.3">
      <c r="A966" s="7" t="s">
        <v>277</v>
      </c>
      <c r="B966" s="7" t="s">
        <v>176</v>
      </c>
      <c r="C966" s="24" t="s">
        <v>58</v>
      </c>
      <c r="D966" s="24" t="s">
        <v>61</v>
      </c>
      <c r="E966" s="8">
        <v>46195</v>
      </c>
      <c r="F966" s="8">
        <v>46203</v>
      </c>
      <c r="G966" s="9">
        <f t="shared" si="189"/>
        <v>9</v>
      </c>
      <c r="H966" s="10"/>
      <c r="I966" s="10"/>
      <c r="J966" s="10"/>
      <c r="K966" s="11">
        <f t="shared" si="190"/>
        <v>0</v>
      </c>
      <c r="L966" s="11">
        <f t="shared" si="191"/>
        <v>0</v>
      </c>
      <c r="M966" s="12" t="str">
        <f t="shared" si="192"/>
        <v/>
      </c>
      <c r="N966" s="11">
        <f t="shared" si="193"/>
        <v>0</v>
      </c>
      <c r="O966" s="12" t="str">
        <f t="shared" si="194"/>
        <v/>
      </c>
      <c r="P966" s="12" t="str">
        <f t="shared" si="195"/>
        <v/>
      </c>
      <c r="Q966" s="13" t="str">
        <f t="shared" si="187"/>
        <v/>
      </c>
      <c r="R966" s="13" t="str">
        <f t="shared" si="188"/>
        <v/>
      </c>
    </row>
    <row r="967" spans="1:18" ht="15.75" customHeight="1" x14ac:dyDescent="0.3">
      <c r="A967" s="7" t="s">
        <v>277</v>
      </c>
      <c r="B967" s="7" t="s">
        <v>177</v>
      </c>
      <c r="C967" s="24" t="s">
        <v>58</v>
      </c>
      <c r="D967" s="24" t="s">
        <v>61</v>
      </c>
      <c r="E967" s="8">
        <v>46195</v>
      </c>
      <c r="F967" s="8">
        <v>46203</v>
      </c>
      <c r="G967" s="9">
        <f t="shared" si="189"/>
        <v>9</v>
      </c>
      <c r="H967" s="10"/>
      <c r="I967" s="10"/>
      <c r="J967" s="10"/>
      <c r="K967" s="11">
        <f t="shared" si="190"/>
        <v>0</v>
      </c>
      <c r="L967" s="11">
        <f t="shared" si="191"/>
        <v>0</v>
      </c>
      <c r="M967" s="12" t="str">
        <f t="shared" si="192"/>
        <v/>
      </c>
      <c r="N967" s="11">
        <f t="shared" si="193"/>
        <v>0</v>
      </c>
      <c r="O967" s="12" t="str">
        <f t="shared" si="194"/>
        <v/>
      </c>
      <c r="P967" s="12" t="str">
        <f t="shared" si="195"/>
        <v/>
      </c>
      <c r="Q967" s="13" t="str">
        <f t="shared" si="187"/>
        <v/>
      </c>
      <c r="R967" s="13" t="str">
        <f t="shared" si="188"/>
        <v/>
      </c>
    </row>
    <row r="968" spans="1:18" ht="15.75" customHeight="1" x14ac:dyDescent="0.3">
      <c r="A968" s="7" t="s">
        <v>277</v>
      </c>
      <c r="B968" s="7" t="s">
        <v>117</v>
      </c>
      <c r="C968" s="24" t="s">
        <v>47</v>
      </c>
      <c r="D968" s="24" t="s">
        <v>48</v>
      </c>
      <c r="E968" s="8">
        <v>46195</v>
      </c>
      <c r="F968" s="8">
        <v>46203</v>
      </c>
      <c r="G968" s="9">
        <f t="shared" si="189"/>
        <v>9</v>
      </c>
      <c r="H968" s="10"/>
      <c r="I968" s="10"/>
      <c r="J968" s="10"/>
      <c r="K968" s="11">
        <f t="shared" si="190"/>
        <v>0</v>
      </c>
      <c r="L968" s="11">
        <f t="shared" si="191"/>
        <v>0</v>
      </c>
      <c r="M968" s="12" t="str">
        <f t="shared" si="192"/>
        <v/>
      </c>
      <c r="N968" s="11">
        <f t="shared" si="193"/>
        <v>0</v>
      </c>
      <c r="O968" s="12" t="str">
        <f t="shared" si="194"/>
        <v/>
      </c>
      <c r="P968" s="12" t="str">
        <f t="shared" si="195"/>
        <v/>
      </c>
      <c r="Q968" s="13" t="str">
        <f t="shared" si="187"/>
        <v/>
      </c>
      <c r="R968" s="13" t="str">
        <f t="shared" si="188"/>
        <v/>
      </c>
    </row>
    <row r="969" spans="1:18" ht="15.75" customHeight="1" x14ac:dyDescent="0.3">
      <c r="A969" s="7" t="s">
        <v>277</v>
      </c>
      <c r="B969" s="7" t="s">
        <v>118</v>
      </c>
      <c r="C969" s="24" t="s">
        <v>47</v>
      </c>
      <c r="D969" s="24" t="s">
        <v>48</v>
      </c>
      <c r="E969" s="8">
        <v>46195</v>
      </c>
      <c r="F969" s="8">
        <v>46203</v>
      </c>
      <c r="G969" s="9">
        <f t="shared" si="189"/>
        <v>9</v>
      </c>
      <c r="H969" s="10"/>
      <c r="I969" s="10"/>
      <c r="J969" s="10"/>
      <c r="K969" s="11">
        <f t="shared" si="190"/>
        <v>0</v>
      </c>
      <c r="L969" s="11">
        <f t="shared" si="191"/>
        <v>0</v>
      </c>
      <c r="M969" s="12" t="str">
        <f t="shared" si="192"/>
        <v/>
      </c>
      <c r="N969" s="11">
        <f t="shared" si="193"/>
        <v>0</v>
      </c>
      <c r="O969" s="12" t="str">
        <f t="shared" si="194"/>
        <v/>
      </c>
      <c r="P969" s="12" t="str">
        <f t="shared" si="195"/>
        <v/>
      </c>
      <c r="Q969" s="13" t="str">
        <f t="shared" si="187"/>
        <v/>
      </c>
      <c r="R969" s="13" t="str">
        <f t="shared" si="188"/>
        <v/>
      </c>
    </row>
    <row r="970" spans="1:18" ht="15.75" customHeight="1" x14ac:dyDescent="0.3">
      <c r="A970" s="7" t="s">
        <v>277</v>
      </c>
      <c r="B970" s="7" t="s">
        <v>270</v>
      </c>
      <c r="C970" s="24" t="s">
        <v>47</v>
      </c>
      <c r="D970" s="24" t="s">
        <v>48</v>
      </c>
      <c r="E970" s="8">
        <v>46195</v>
      </c>
      <c r="F970" s="8">
        <v>46203</v>
      </c>
      <c r="G970" s="9">
        <f t="shared" si="189"/>
        <v>9</v>
      </c>
      <c r="H970" s="10"/>
      <c r="I970" s="10"/>
      <c r="J970" s="10"/>
      <c r="K970" s="11">
        <f t="shared" si="190"/>
        <v>0</v>
      </c>
      <c r="L970" s="11">
        <f t="shared" si="191"/>
        <v>0</v>
      </c>
      <c r="M970" s="12" t="str">
        <f t="shared" si="192"/>
        <v/>
      </c>
      <c r="N970" s="11">
        <f t="shared" si="193"/>
        <v>0</v>
      </c>
      <c r="O970" s="12" t="str">
        <f t="shared" si="194"/>
        <v/>
      </c>
      <c r="P970" s="12" t="str">
        <f t="shared" si="195"/>
        <v/>
      </c>
      <c r="Q970" s="13" t="str">
        <f t="shared" si="187"/>
        <v/>
      </c>
      <c r="R970" s="13" t="str">
        <f t="shared" si="188"/>
        <v/>
      </c>
    </row>
    <row r="971" spans="1:18" ht="15.75" customHeight="1" x14ac:dyDescent="0.3">
      <c r="A971" s="7" t="s">
        <v>277</v>
      </c>
      <c r="B971" s="7" t="s">
        <v>271</v>
      </c>
      <c r="C971" s="24" t="s">
        <v>47</v>
      </c>
      <c r="D971" s="24" t="s">
        <v>48</v>
      </c>
      <c r="E971" s="8">
        <v>46195</v>
      </c>
      <c r="F971" s="8">
        <v>46203</v>
      </c>
      <c r="G971" s="9">
        <f t="shared" si="189"/>
        <v>9</v>
      </c>
      <c r="H971" s="10"/>
      <c r="I971" s="10"/>
      <c r="J971" s="10"/>
      <c r="K971" s="11">
        <f t="shared" si="190"/>
        <v>0</v>
      </c>
      <c r="L971" s="11">
        <f t="shared" si="191"/>
        <v>0</v>
      </c>
      <c r="M971" s="12" t="str">
        <f t="shared" si="192"/>
        <v/>
      </c>
      <c r="N971" s="11">
        <f t="shared" si="193"/>
        <v>0</v>
      </c>
      <c r="O971" s="12" t="str">
        <f t="shared" si="194"/>
        <v/>
      </c>
      <c r="P971" s="12" t="str">
        <f t="shared" si="195"/>
        <v/>
      </c>
      <c r="Q971" s="13" t="str">
        <f t="shared" si="187"/>
        <v/>
      </c>
      <c r="R971" s="13" t="str">
        <f t="shared" si="188"/>
        <v/>
      </c>
    </row>
    <row r="972" spans="1:18" ht="15.75" customHeight="1" x14ac:dyDescent="0.3">
      <c r="A972" s="7" t="s">
        <v>277</v>
      </c>
      <c r="B972" s="7" t="s">
        <v>188</v>
      </c>
      <c r="C972" s="24" t="s">
        <v>34</v>
      </c>
      <c r="D972" s="24" t="s">
        <v>53</v>
      </c>
      <c r="E972" s="8">
        <v>46195</v>
      </c>
      <c r="F972" s="8">
        <v>46203</v>
      </c>
      <c r="G972" s="9">
        <f t="shared" si="189"/>
        <v>9</v>
      </c>
      <c r="H972" s="10"/>
      <c r="I972" s="10"/>
      <c r="J972" s="10"/>
      <c r="K972" s="11">
        <f t="shared" si="190"/>
        <v>0</v>
      </c>
      <c r="L972" s="11">
        <f t="shared" si="191"/>
        <v>0</v>
      </c>
      <c r="M972" s="12" t="str">
        <f t="shared" si="192"/>
        <v/>
      </c>
      <c r="N972" s="11">
        <f t="shared" si="193"/>
        <v>0</v>
      </c>
      <c r="O972" s="12" t="str">
        <f t="shared" si="194"/>
        <v/>
      </c>
      <c r="P972" s="12" t="str">
        <f t="shared" si="195"/>
        <v/>
      </c>
      <c r="Q972" s="13" t="str">
        <f t="shared" si="187"/>
        <v/>
      </c>
      <c r="R972" s="13" t="str">
        <f t="shared" si="188"/>
        <v/>
      </c>
    </row>
    <row r="973" spans="1:18" ht="15.75" customHeight="1" x14ac:dyDescent="0.3">
      <c r="A973" s="7" t="s">
        <v>277</v>
      </c>
      <c r="B973" s="7" t="s">
        <v>249</v>
      </c>
      <c r="C973" s="24" t="s">
        <v>47</v>
      </c>
      <c r="D973" s="24" t="s">
        <v>48</v>
      </c>
      <c r="E973" s="8">
        <v>46195</v>
      </c>
      <c r="F973" s="8">
        <v>46203</v>
      </c>
      <c r="G973" s="9">
        <f t="shared" si="189"/>
        <v>9</v>
      </c>
      <c r="H973" s="10"/>
      <c r="I973" s="10"/>
      <c r="J973" s="10"/>
      <c r="K973" s="11">
        <f t="shared" si="190"/>
        <v>0</v>
      </c>
      <c r="L973" s="11">
        <f t="shared" si="191"/>
        <v>0</v>
      </c>
      <c r="M973" s="12" t="str">
        <f t="shared" si="192"/>
        <v/>
      </c>
      <c r="N973" s="11">
        <f t="shared" si="193"/>
        <v>0</v>
      </c>
      <c r="O973" s="12" t="str">
        <f t="shared" si="194"/>
        <v/>
      </c>
      <c r="P973" s="12" t="str">
        <f t="shared" si="195"/>
        <v/>
      </c>
      <c r="Q973" s="13" t="str">
        <f t="shared" si="187"/>
        <v/>
      </c>
      <c r="R973" s="13" t="str">
        <f t="shared" si="188"/>
        <v/>
      </c>
    </row>
    <row r="974" spans="1:18" ht="15.75" customHeight="1" x14ac:dyDescent="0.3">
      <c r="A974" s="7" t="s">
        <v>277</v>
      </c>
      <c r="B974" s="7" t="s">
        <v>214</v>
      </c>
      <c r="C974" s="24" t="s">
        <v>47</v>
      </c>
      <c r="D974" s="24" t="s">
        <v>53</v>
      </c>
      <c r="E974" s="8">
        <v>46195</v>
      </c>
      <c r="F974" s="8">
        <v>46203</v>
      </c>
      <c r="G974" s="9">
        <f t="shared" si="189"/>
        <v>9</v>
      </c>
      <c r="H974" s="10"/>
      <c r="I974" s="10"/>
      <c r="J974" s="10"/>
      <c r="K974" s="11">
        <f t="shared" si="190"/>
        <v>0</v>
      </c>
      <c r="L974" s="11">
        <f t="shared" si="191"/>
        <v>0</v>
      </c>
      <c r="M974" s="12" t="str">
        <f t="shared" si="192"/>
        <v/>
      </c>
      <c r="N974" s="11">
        <f t="shared" si="193"/>
        <v>0</v>
      </c>
      <c r="O974" s="12" t="str">
        <f t="shared" si="194"/>
        <v/>
      </c>
      <c r="P974" s="12" t="str">
        <f t="shared" si="195"/>
        <v/>
      </c>
      <c r="Q974" s="13" t="str">
        <f t="shared" si="187"/>
        <v/>
      </c>
      <c r="R974" s="13" t="str">
        <f t="shared" si="188"/>
        <v/>
      </c>
    </row>
    <row r="975" spans="1:18" ht="15.75" customHeight="1" x14ac:dyDescent="0.3">
      <c r="A975" s="7" t="s">
        <v>277</v>
      </c>
      <c r="B975" s="7" t="s">
        <v>33</v>
      </c>
      <c r="C975" s="24" t="s">
        <v>34</v>
      </c>
      <c r="D975" s="24" t="s">
        <v>35</v>
      </c>
      <c r="E975" s="8">
        <v>46195</v>
      </c>
      <c r="F975" s="8">
        <v>46203</v>
      </c>
      <c r="G975" s="9">
        <f t="shared" si="189"/>
        <v>9</v>
      </c>
      <c r="H975" s="10"/>
      <c r="I975" s="10"/>
      <c r="J975" s="10"/>
      <c r="K975" s="11">
        <f t="shared" si="190"/>
        <v>0</v>
      </c>
      <c r="L975" s="11">
        <f t="shared" si="191"/>
        <v>0</v>
      </c>
      <c r="M975" s="12" t="str">
        <f t="shared" si="192"/>
        <v/>
      </c>
      <c r="N975" s="11">
        <f t="shared" si="193"/>
        <v>0</v>
      </c>
      <c r="O975" s="12" t="str">
        <f t="shared" si="194"/>
        <v/>
      </c>
      <c r="P975" s="12" t="str">
        <f t="shared" si="195"/>
        <v/>
      </c>
      <c r="Q975" s="13" t="str">
        <f t="shared" si="187"/>
        <v/>
      </c>
      <c r="R975" s="13" t="str">
        <f t="shared" si="188"/>
        <v/>
      </c>
    </row>
    <row r="976" spans="1:18" ht="15.75" customHeight="1" x14ac:dyDescent="0.3">
      <c r="A976" s="7" t="s">
        <v>277</v>
      </c>
      <c r="B976" s="7" t="s">
        <v>36</v>
      </c>
      <c r="C976" s="24" t="s">
        <v>34</v>
      </c>
      <c r="D976" s="24" t="s">
        <v>35</v>
      </c>
      <c r="E976" s="8">
        <v>46195</v>
      </c>
      <c r="F976" s="8">
        <v>46203</v>
      </c>
      <c r="G976" s="9">
        <f t="shared" si="189"/>
        <v>9</v>
      </c>
      <c r="H976" s="10"/>
      <c r="I976" s="10"/>
      <c r="J976" s="10"/>
      <c r="K976" s="11">
        <f t="shared" si="190"/>
        <v>0</v>
      </c>
      <c r="L976" s="11">
        <f t="shared" si="191"/>
        <v>0</v>
      </c>
      <c r="M976" s="12" t="str">
        <f t="shared" si="192"/>
        <v/>
      </c>
      <c r="N976" s="11">
        <f t="shared" si="193"/>
        <v>0</v>
      </c>
      <c r="O976" s="12" t="str">
        <f t="shared" si="194"/>
        <v/>
      </c>
      <c r="P976" s="12" t="str">
        <f t="shared" si="195"/>
        <v/>
      </c>
      <c r="Q976" s="13" t="str">
        <f t="shared" si="187"/>
        <v/>
      </c>
      <c r="R976" s="13" t="str">
        <f t="shared" si="188"/>
        <v/>
      </c>
    </row>
    <row r="977" spans="1:18" ht="15.75" customHeight="1" x14ac:dyDescent="0.3">
      <c r="A977" s="7" t="s">
        <v>277</v>
      </c>
      <c r="B977" s="7" t="s">
        <v>272</v>
      </c>
      <c r="C977" s="24" t="s">
        <v>47</v>
      </c>
      <c r="D977" s="24" t="s">
        <v>48</v>
      </c>
      <c r="E977" s="8">
        <v>46195</v>
      </c>
      <c r="F977" s="8">
        <v>46203</v>
      </c>
      <c r="G977" s="9">
        <f t="shared" si="189"/>
        <v>9</v>
      </c>
      <c r="H977" s="10"/>
      <c r="I977" s="10"/>
      <c r="J977" s="10"/>
      <c r="K977" s="11">
        <f t="shared" si="190"/>
        <v>0</v>
      </c>
      <c r="L977" s="11">
        <f t="shared" si="191"/>
        <v>0</v>
      </c>
      <c r="M977" s="12" t="str">
        <f t="shared" si="192"/>
        <v/>
      </c>
      <c r="N977" s="11">
        <f t="shared" si="193"/>
        <v>0</v>
      </c>
      <c r="O977" s="12" t="str">
        <f t="shared" si="194"/>
        <v/>
      </c>
      <c r="P977" s="12" t="str">
        <f t="shared" si="195"/>
        <v/>
      </c>
      <c r="Q977" s="13" t="str">
        <f t="shared" si="187"/>
        <v/>
      </c>
      <c r="R977" s="13" t="str">
        <f t="shared" si="188"/>
        <v/>
      </c>
    </row>
    <row r="978" spans="1:18" ht="15.75" customHeight="1" x14ac:dyDescent="0.3">
      <c r="A978" s="7" t="s">
        <v>277</v>
      </c>
      <c r="B978" s="7" t="s">
        <v>273</v>
      </c>
      <c r="C978" s="24" t="s">
        <v>47</v>
      </c>
      <c r="D978" s="24" t="s">
        <v>48</v>
      </c>
      <c r="E978" s="8">
        <v>46195</v>
      </c>
      <c r="F978" s="8">
        <v>46203</v>
      </c>
      <c r="G978" s="9">
        <f t="shared" si="189"/>
        <v>9</v>
      </c>
      <c r="H978" s="10"/>
      <c r="I978" s="10"/>
      <c r="J978" s="10"/>
      <c r="K978" s="11">
        <f t="shared" si="190"/>
        <v>0</v>
      </c>
      <c r="L978" s="11">
        <f t="shared" si="191"/>
        <v>0</v>
      </c>
      <c r="M978" s="12" t="str">
        <f t="shared" si="192"/>
        <v/>
      </c>
      <c r="N978" s="11">
        <f t="shared" si="193"/>
        <v>0</v>
      </c>
      <c r="O978" s="12" t="str">
        <f t="shared" si="194"/>
        <v/>
      </c>
      <c r="P978" s="12" t="str">
        <f t="shared" si="195"/>
        <v/>
      </c>
      <c r="Q978" s="13" t="str">
        <f t="shared" si="187"/>
        <v/>
      </c>
      <c r="R978" s="13" t="str">
        <f t="shared" si="188"/>
        <v/>
      </c>
    </row>
    <row r="979" spans="1:18" ht="15.75" customHeight="1" x14ac:dyDescent="0.3">
      <c r="A979" s="7" t="s">
        <v>277</v>
      </c>
      <c r="B979" s="7" t="s">
        <v>274</v>
      </c>
      <c r="C979" s="24" t="s">
        <v>47</v>
      </c>
      <c r="D979" s="24" t="s">
        <v>48</v>
      </c>
      <c r="E979" s="8">
        <v>46195</v>
      </c>
      <c r="F979" s="8">
        <v>46203</v>
      </c>
      <c r="G979" s="9">
        <f t="shared" si="189"/>
        <v>9</v>
      </c>
      <c r="H979" s="10"/>
      <c r="I979" s="10"/>
      <c r="J979" s="10"/>
      <c r="K979" s="11">
        <f t="shared" si="190"/>
        <v>0</v>
      </c>
      <c r="L979" s="11">
        <f t="shared" si="191"/>
        <v>0</v>
      </c>
      <c r="M979" s="12" t="str">
        <f t="shared" si="192"/>
        <v/>
      </c>
      <c r="N979" s="11">
        <f t="shared" si="193"/>
        <v>0</v>
      </c>
      <c r="O979" s="12" t="str">
        <f t="shared" si="194"/>
        <v/>
      </c>
      <c r="P979" s="12" t="str">
        <f t="shared" si="195"/>
        <v/>
      </c>
      <c r="Q979" s="13" t="str">
        <f t="shared" si="187"/>
        <v/>
      </c>
      <c r="R979" s="13" t="str">
        <f t="shared" si="188"/>
        <v/>
      </c>
    </row>
    <row r="980" spans="1:18" ht="15.75" customHeight="1" x14ac:dyDescent="0.3">
      <c r="A980" s="7" t="s">
        <v>277</v>
      </c>
      <c r="B980" s="7" t="s">
        <v>263</v>
      </c>
      <c r="C980" s="24" t="s">
        <v>34</v>
      </c>
      <c r="D980" s="24" t="s">
        <v>35</v>
      </c>
      <c r="E980" s="8">
        <v>46195</v>
      </c>
      <c r="F980" s="8">
        <v>46203</v>
      </c>
      <c r="G980" s="9">
        <f t="shared" si="189"/>
        <v>9</v>
      </c>
      <c r="H980" s="10"/>
      <c r="I980" s="10"/>
      <c r="J980" s="10"/>
      <c r="K980" s="11">
        <f t="shared" si="190"/>
        <v>0</v>
      </c>
      <c r="L980" s="11">
        <f t="shared" si="191"/>
        <v>0</v>
      </c>
      <c r="M980" s="12" t="str">
        <f t="shared" si="192"/>
        <v/>
      </c>
      <c r="N980" s="11">
        <f t="shared" si="193"/>
        <v>0</v>
      </c>
      <c r="O980" s="12" t="str">
        <f t="shared" si="194"/>
        <v/>
      </c>
      <c r="P980" s="12" t="str">
        <f t="shared" si="195"/>
        <v/>
      </c>
      <c r="Q980" s="13" t="str">
        <f t="shared" si="187"/>
        <v/>
      </c>
      <c r="R980" s="13" t="str">
        <f t="shared" si="188"/>
        <v/>
      </c>
    </row>
    <row r="981" spans="1:18" ht="15.75" customHeight="1" x14ac:dyDescent="0.3">
      <c r="A981" s="7" t="s">
        <v>277</v>
      </c>
      <c r="B981" s="7" t="s">
        <v>37</v>
      </c>
      <c r="C981" s="24" t="s">
        <v>34</v>
      </c>
      <c r="D981" s="24" t="s">
        <v>35</v>
      </c>
      <c r="E981" s="8">
        <v>46195</v>
      </c>
      <c r="F981" s="8">
        <v>46203</v>
      </c>
      <c r="G981" s="9">
        <f t="shared" si="189"/>
        <v>9</v>
      </c>
      <c r="H981" s="10"/>
      <c r="I981" s="10"/>
      <c r="J981" s="10"/>
      <c r="K981" s="11">
        <f t="shared" si="190"/>
        <v>0</v>
      </c>
      <c r="L981" s="11">
        <f t="shared" si="191"/>
        <v>0</v>
      </c>
      <c r="M981" s="12" t="str">
        <f t="shared" si="192"/>
        <v/>
      </c>
      <c r="N981" s="11">
        <f t="shared" si="193"/>
        <v>0</v>
      </c>
      <c r="O981" s="12" t="str">
        <f t="shared" si="194"/>
        <v/>
      </c>
      <c r="P981" s="12" t="str">
        <f t="shared" si="195"/>
        <v/>
      </c>
      <c r="Q981" s="13" t="str">
        <f t="shared" si="187"/>
        <v/>
      </c>
      <c r="R981" s="13" t="str">
        <f t="shared" si="188"/>
        <v/>
      </c>
    </row>
    <row r="982" spans="1:18" ht="15.75" customHeight="1" x14ac:dyDescent="0.3">
      <c r="A982" s="7" t="s">
        <v>277</v>
      </c>
      <c r="B982" s="7" t="s">
        <v>207</v>
      </c>
      <c r="C982" s="24" t="s">
        <v>34</v>
      </c>
      <c r="D982" s="24" t="s">
        <v>35</v>
      </c>
      <c r="E982" s="8">
        <v>46195</v>
      </c>
      <c r="F982" s="8">
        <v>46203</v>
      </c>
      <c r="G982" s="9">
        <f t="shared" si="189"/>
        <v>9</v>
      </c>
      <c r="H982" s="10"/>
      <c r="I982" s="10"/>
      <c r="J982" s="10"/>
      <c r="K982" s="11">
        <f t="shared" si="190"/>
        <v>0</v>
      </c>
      <c r="L982" s="11">
        <f t="shared" si="191"/>
        <v>0</v>
      </c>
      <c r="M982" s="12" t="str">
        <f t="shared" si="192"/>
        <v/>
      </c>
      <c r="N982" s="11">
        <f t="shared" si="193"/>
        <v>0</v>
      </c>
      <c r="O982" s="12" t="str">
        <f t="shared" si="194"/>
        <v/>
      </c>
      <c r="P982" s="12" t="str">
        <f t="shared" si="195"/>
        <v/>
      </c>
      <c r="Q982" s="13" t="str">
        <f t="shared" si="187"/>
        <v/>
      </c>
      <c r="R982" s="13" t="str">
        <f t="shared" si="188"/>
        <v/>
      </c>
    </row>
    <row r="983" spans="1:18" ht="15.75" customHeight="1" x14ac:dyDescent="0.3">
      <c r="A983" s="7" t="s">
        <v>277</v>
      </c>
      <c r="B983" s="7" t="s">
        <v>264</v>
      </c>
      <c r="C983" s="24" t="s">
        <v>34</v>
      </c>
      <c r="D983" s="24" t="s">
        <v>91</v>
      </c>
      <c r="E983" s="8">
        <v>46195</v>
      </c>
      <c r="F983" s="8">
        <v>46203</v>
      </c>
      <c r="G983" s="9">
        <f t="shared" si="189"/>
        <v>9</v>
      </c>
      <c r="H983" s="10"/>
      <c r="I983" s="10"/>
      <c r="J983" s="10"/>
      <c r="K983" s="11">
        <f t="shared" si="190"/>
        <v>0</v>
      </c>
      <c r="L983" s="11">
        <f t="shared" si="191"/>
        <v>0</v>
      </c>
      <c r="M983" s="12" t="str">
        <f t="shared" si="192"/>
        <v/>
      </c>
      <c r="N983" s="11">
        <f t="shared" si="193"/>
        <v>0</v>
      </c>
      <c r="O983" s="12" t="str">
        <f t="shared" si="194"/>
        <v/>
      </c>
      <c r="P983" s="12" t="str">
        <f t="shared" si="195"/>
        <v/>
      </c>
      <c r="Q983" s="13" t="str">
        <f t="shared" si="187"/>
        <v/>
      </c>
      <c r="R983" s="13" t="str">
        <f t="shared" si="188"/>
        <v/>
      </c>
    </row>
    <row r="984" spans="1:18" ht="15.75" customHeight="1" x14ac:dyDescent="0.3">
      <c r="A984" s="7" t="s">
        <v>277</v>
      </c>
      <c r="B984" s="7" t="s">
        <v>226</v>
      </c>
      <c r="C984" s="24" t="s">
        <v>34</v>
      </c>
      <c r="D984" s="24" t="s">
        <v>91</v>
      </c>
      <c r="E984" s="8">
        <v>46195</v>
      </c>
      <c r="F984" s="8">
        <v>46203</v>
      </c>
      <c r="G984" s="9">
        <f t="shared" si="189"/>
        <v>9</v>
      </c>
      <c r="H984" s="10"/>
      <c r="I984" s="10"/>
      <c r="J984" s="10"/>
      <c r="K984" s="11">
        <f t="shared" si="190"/>
        <v>0</v>
      </c>
      <c r="L984" s="11">
        <f t="shared" si="191"/>
        <v>0</v>
      </c>
      <c r="M984" s="12" t="str">
        <f t="shared" si="192"/>
        <v/>
      </c>
      <c r="N984" s="11">
        <f t="shared" si="193"/>
        <v>0</v>
      </c>
      <c r="O984" s="12" t="str">
        <f t="shared" si="194"/>
        <v/>
      </c>
      <c r="P984" s="12" t="str">
        <f t="shared" si="195"/>
        <v/>
      </c>
      <c r="Q984" s="13" t="str">
        <f t="shared" si="187"/>
        <v/>
      </c>
      <c r="R984" s="13" t="str">
        <f t="shared" si="188"/>
        <v/>
      </c>
    </row>
    <row r="985" spans="1:18" ht="15.75" customHeight="1" x14ac:dyDescent="0.3">
      <c r="A985" s="7" t="s">
        <v>277</v>
      </c>
      <c r="B985" s="7" t="s">
        <v>38</v>
      </c>
      <c r="C985" s="24" t="s">
        <v>34</v>
      </c>
      <c r="D985" s="24" t="s">
        <v>39</v>
      </c>
      <c r="E985" s="8">
        <v>46195</v>
      </c>
      <c r="F985" s="8">
        <v>46203</v>
      </c>
      <c r="G985" s="9">
        <f t="shared" si="189"/>
        <v>9</v>
      </c>
      <c r="H985" s="10"/>
      <c r="I985" s="10"/>
      <c r="J985" s="10"/>
      <c r="K985" s="11">
        <f t="shared" si="190"/>
        <v>0</v>
      </c>
      <c r="L985" s="11">
        <f t="shared" si="191"/>
        <v>0</v>
      </c>
      <c r="M985" s="12" t="str">
        <f t="shared" si="192"/>
        <v/>
      </c>
      <c r="N985" s="11">
        <f t="shared" si="193"/>
        <v>0</v>
      </c>
      <c r="O985" s="12" t="str">
        <f t="shared" si="194"/>
        <v/>
      </c>
      <c r="P985" s="12" t="str">
        <f t="shared" si="195"/>
        <v/>
      </c>
      <c r="Q985" s="13" t="str">
        <f t="shared" si="187"/>
        <v/>
      </c>
      <c r="R985" s="13" t="str">
        <f t="shared" si="188"/>
        <v/>
      </c>
    </row>
    <row r="986" spans="1:18" ht="15.75" customHeight="1" x14ac:dyDescent="0.3">
      <c r="A986" s="7" t="s">
        <v>277</v>
      </c>
      <c r="B986" s="7" t="s">
        <v>40</v>
      </c>
      <c r="C986" s="24" t="s">
        <v>34</v>
      </c>
      <c r="D986" s="24" t="s">
        <v>39</v>
      </c>
      <c r="E986" s="8">
        <v>46195</v>
      </c>
      <c r="F986" s="8">
        <v>46203</v>
      </c>
      <c r="G986" s="9">
        <f t="shared" si="189"/>
        <v>9</v>
      </c>
      <c r="H986" s="10"/>
      <c r="I986" s="10"/>
      <c r="J986" s="10"/>
      <c r="K986" s="11">
        <f t="shared" si="190"/>
        <v>0</v>
      </c>
      <c r="L986" s="11">
        <f t="shared" si="191"/>
        <v>0</v>
      </c>
      <c r="M986" s="12" t="str">
        <f t="shared" si="192"/>
        <v/>
      </c>
      <c r="N986" s="11">
        <f t="shared" si="193"/>
        <v>0</v>
      </c>
      <c r="O986" s="12" t="str">
        <f t="shared" si="194"/>
        <v/>
      </c>
      <c r="P986" s="12" t="str">
        <f t="shared" si="195"/>
        <v/>
      </c>
      <c r="Q986" s="13" t="str">
        <f t="shared" si="187"/>
        <v/>
      </c>
      <c r="R986" s="13" t="str">
        <f t="shared" si="188"/>
        <v/>
      </c>
    </row>
    <row r="987" spans="1:18" ht="15.75" customHeight="1" x14ac:dyDescent="0.3">
      <c r="A987" s="7" t="s">
        <v>277</v>
      </c>
      <c r="B987" s="7" t="s">
        <v>219</v>
      </c>
      <c r="C987" s="24" t="s">
        <v>34</v>
      </c>
      <c r="D987" s="24" t="s">
        <v>445</v>
      </c>
      <c r="E987" s="8">
        <v>46195</v>
      </c>
      <c r="F987" s="8">
        <v>46203</v>
      </c>
      <c r="G987" s="9">
        <f t="shared" si="189"/>
        <v>9</v>
      </c>
      <c r="H987" s="10"/>
      <c r="I987" s="10"/>
      <c r="J987" s="10"/>
      <c r="K987" s="11">
        <f t="shared" si="190"/>
        <v>0</v>
      </c>
      <c r="L987" s="11">
        <f t="shared" si="191"/>
        <v>0</v>
      </c>
      <c r="M987" s="12" t="str">
        <f t="shared" si="192"/>
        <v/>
      </c>
      <c r="N987" s="11">
        <f t="shared" si="193"/>
        <v>0</v>
      </c>
      <c r="O987" s="12" t="str">
        <f t="shared" si="194"/>
        <v/>
      </c>
      <c r="P987" s="12" t="str">
        <f t="shared" si="195"/>
        <v/>
      </c>
      <c r="Q987" s="13" t="str">
        <f t="shared" si="187"/>
        <v/>
      </c>
      <c r="R987" s="13" t="str">
        <f t="shared" si="188"/>
        <v/>
      </c>
    </row>
    <row r="988" spans="1:18" ht="15.75" customHeight="1" x14ac:dyDescent="0.3">
      <c r="A988" s="7" t="s">
        <v>277</v>
      </c>
      <c r="B988" s="7" t="s">
        <v>265</v>
      </c>
      <c r="C988" s="24" t="s">
        <v>34</v>
      </c>
      <c r="D988" s="24" t="s">
        <v>44</v>
      </c>
      <c r="E988" s="8">
        <v>46195</v>
      </c>
      <c r="F988" s="8">
        <v>46203</v>
      </c>
      <c r="G988" s="9">
        <f t="shared" si="189"/>
        <v>9</v>
      </c>
      <c r="H988" s="10"/>
      <c r="I988" s="10"/>
      <c r="J988" s="10"/>
      <c r="K988" s="11">
        <f t="shared" si="190"/>
        <v>0</v>
      </c>
      <c r="L988" s="11">
        <f t="shared" si="191"/>
        <v>0</v>
      </c>
      <c r="M988" s="12" t="str">
        <f t="shared" si="192"/>
        <v/>
      </c>
      <c r="N988" s="11">
        <f t="shared" si="193"/>
        <v>0</v>
      </c>
      <c r="O988" s="12" t="str">
        <f t="shared" si="194"/>
        <v/>
      </c>
      <c r="P988" s="12" t="str">
        <f t="shared" si="195"/>
        <v/>
      </c>
      <c r="Q988" s="13" t="str">
        <f t="shared" si="187"/>
        <v/>
      </c>
      <c r="R988" s="13" t="str">
        <f t="shared" si="188"/>
        <v/>
      </c>
    </row>
    <row r="989" spans="1:18" ht="15.75" customHeight="1" x14ac:dyDescent="0.3">
      <c r="A989" s="7" t="s">
        <v>277</v>
      </c>
      <c r="B989" s="7" t="s">
        <v>93</v>
      </c>
      <c r="C989" s="24" t="s">
        <v>47</v>
      </c>
      <c r="D989" s="24" t="s">
        <v>48</v>
      </c>
      <c r="E989" s="8">
        <v>46195</v>
      </c>
      <c r="F989" s="8">
        <v>46203</v>
      </c>
      <c r="G989" s="9">
        <f t="shared" si="189"/>
        <v>9</v>
      </c>
      <c r="H989" s="10"/>
      <c r="I989" s="10"/>
      <c r="J989" s="10"/>
      <c r="K989" s="11">
        <f t="shared" si="190"/>
        <v>0</v>
      </c>
      <c r="L989" s="11">
        <f t="shared" si="191"/>
        <v>0</v>
      </c>
      <c r="M989" s="12" t="str">
        <f t="shared" si="192"/>
        <v/>
      </c>
      <c r="N989" s="11">
        <f t="shared" si="193"/>
        <v>0</v>
      </c>
      <c r="O989" s="12" t="str">
        <f t="shared" si="194"/>
        <v/>
      </c>
      <c r="P989" s="12" t="str">
        <f t="shared" si="195"/>
        <v/>
      </c>
      <c r="Q989" s="13" t="str">
        <f t="shared" si="187"/>
        <v/>
      </c>
      <c r="R989" s="13" t="str">
        <f t="shared" si="188"/>
        <v/>
      </c>
    </row>
    <row r="990" spans="1:18" ht="15.75" customHeight="1" x14ac:dyDescent="0.3">
      <c r="A990" s="7" t="s">
        <v>277</v>
      </c>
      <c r="B990" s="7" t="s">
        <v>94</v>
      </c>
      <c r="C990" s="24" t="s">
        <v>47</v>
      </c>
      <c r="D990" s="24" t="s">
        <v>48</v>
      </c>
      <c r="E990" s="8">
        <v>46195</v>
      </c>
      <c r="F990" s="8">
        <v>46203</v>
      </c>
      <c r="G990" s="9">
        <f t="shared" si="189"/>
        <v>9</v>
      </c>
      <c r="H990" s="10"/>
      <c r="I990" s="10"/>
      <c r="J990" s="10"/>
      <c r="K990" s="11">
        <f t="shared" si="190"/>
        <v>0</v>
      </c>
      <c r="L990" s="11">
        <f t="shared" si="191"/>
        <v>0</v>
      </c>
      <c r="M990" s="12" t="str">
        <f t="shared" si="192"/>
        <v/>
      </c>
      <c r="N990" s="11">
        <f t="shared" si="193"/>
        <v>0</v>
      </c>
      <c r="O990" s="12" t="str">
        <f t="shared" si="194"/>
        <v/>
      </c>
      <c r="P990" s="12" t="str">
        <f t="shared" si="195"/>
        <v/>
      </c>
      <c r="Q990" s="13" t="str">
        <f t="shared" si="187"/>
        <v/>
      </c>
      <c r="R990" s="13" t="str">
        <f t="shared" si="188"/>
        <v/>
      </c>
    </row>
    <row r="991" spans="1:18" ht="15.75" customHeight="1" x14ac:dyDescent="0.3">
      <c r="A991" s="7" t="s">
        <v>277</v>
      </c>
      <c r="B991" s="7" t="s">
        <v>97</v>
      </c>
      <c r="C991" s="24" t="s">
        <v>47</v>
      </c>
      <c r="D991" s="24" t="s">
        <v>53</v>
      </c>
      <c r="E991" s="8">
        <v>46195</v>
      </c>
      <c r="F991" s="8">
        <v>46203</v>
      </c>
      <c r="G991" s="9">
        <f t="shared" si="189"/>
        <v>9</v>
      </c>
      <c r="H991" s="10"/>
      <c r="I991" s="10"/>
      <c r="J991" s="10"/>
      <c r="K991" s="11">
        <f t="shared" si="190"/>
        <v>0</v>
      </c>
      <c r="L991" s="11">
        <f t="shared" si="191"/>
        <v>0</v>
      </c>
      <c r="M991" s="12" t="str">
        <f t="shared" si="192"/>
        <v/>
      </c>
      <c r="N991" s="11">
        <f t="shared" si="193"/>
        <v>0</v>
      </c>
      <c r="O991" s="12" t="str">
        <f t="shared" si="194"/>
        <v/>
      </c>
      <c r="P991" s="12" t="str">
        <f t="shared" si="195"/>
        <v/>
      </c>
      <c r="Q991" s="13" t="str">
        <f t="shared" si="187"/>
        <v/>
      </c>
      <c r="R991" s="13" t="str">
        <f t="shared" si="188"/>
        <v/>
      </c>
    </row>
    <row r="992" spans="1:18" ht="15.75" customHeight="1" x14ac:dyDescent="0.3">
      <c r="A992" s="7" t="s">
        <v>277</v>
      </c>
      <c r="B992" s="7" t="s">
        <v>146</v>
      </c>
      <c r="C992" s="24" t="s">
        <v>443</v>
      </c>
      <c r="D992" s="24" t="s">
        <v>147</v>
      </c>
      <c r="E992" s="8">
        <v>46195</v>
      </c>
      <c r="F992" s="8">
        <v>46203</v>
      </c>
      <c r="G992" s="9">
        <f t="shared" si="189"/>
        <v>9</v>
      </c>
      <c r="H992" s="10"/>
      <c r="I992" s="10"/>
      <c r="J992" s="10"/>
      <c r="K992" s="11">
        <f t="shared" si="190"/>
        <v>0</v>
      </c>
      <c r="L992" s="11">
        <f t="shared" si="191"/>
        <v>0</v>
      </c>
      <c r="M992" s="12" t="str">
        <f t="shared" si="192"/>
        <v/>
      </c>
      <c r="N992" s="11">
        <f t="shared" si="193"/>
        <v>0</v>
      </c>
      <c r="O992" s="12" t="str">
        <f t="shared" si="194"/>
        <v/>
      </c>
      <c r="P992" s="12" t="str">
        <f t="shared" si="195"/>
        <v/>
      </c>
      <c r="Q992" s="13" t="str">
        <f t="shared" si="187"/>
        <v/>
      </c>
      <c r="R992" s="13" t="str">
        <f t="shared" si="188"/>
        <v/>
      </c>
    </row>
    <row r="993" spans="1:18" ht="15.75" customHeight="1" x14ac:dyDescent="0.3">
      <c r="A993" s="7" t="s">
        <v>277</v>
      </c>
      <c r="B993" s="7" t="s">
        <v>125</v>
      </c>
      <c r="C993" s="24" t="s">
        <v>58</v>
      </c>
      <c r="D993" s="24" t="s">
        <v>103</v>
      </c>
      <c r="E993" s="8">
        <v>46195</v>
      </c>
      <c r="F993" s="8">
        <v>46203</v>
      </c>
      <c r="G993" s="9">
        <f t="shared" si="189"/>
        <v>9</v>
      </c>
      <c r="H993" s="10"/>
      <c r="I993" s="10"/>
      <c r="J993" s="10"/>
      <c r="K993" s="11">
        <f t="shared" si="190"/>
        <v>0</v>
      </c>
      <c r="L993" s="11">
        <f t="shared" si="191"/>
        <v>0</v>
      </c>
      <c r="M993" s="12" t="str">
        <f t="shared" si="192"/>
        <v/>
      </c>
      <c r="N993" s="11">
        <f t="shared" si="193"/>
        <v>0</v>
      </c>
      <c r="O993" s="12" t="str">
        <f t="shared" si="194"/>
        <v/>
      </c>
      <c r="P993" s="12" t="str">
        <f t="shared" si="195"/>
        <v/>
      </c>
      <c r="Q993" s="13" t="str">
        <f t="shared" si="187"/>
        <v/>
      </c>
      <c r="R993" s="13" t="str">
        <f t="shared" si="188"/>
        <v/>
      </c>
    </row>
    <row r="994" spans="1:18" ht="15.75" customHeight="1" x14ac:dyDescent="0.3">
      <c r="A994" s="7" t="s">
        <v>277</v>
      </c>
      <c r="B994" s="7" t="s">
        <v>244</v>
      </c>
      <c r="C994" s="24" t="s">
        <v>58</v>
      </c>
      <c r="D994" s="24" t="s">
        <v>103</v>
      </c>
      <c r="E994" s="8">
        <v>46195</v>
      </c>
      <c r="F994" s="8">
        <v>46203</v>
      </c>
      <c r="G994" s="9">
        <f t="shared" si="189"/>
        <v>9</v>
      </c>
      <c r="H994" s="10"/>
      <c r="I994" s="10"/>
      <c r="J994" s="10"/>
      <c r="K994" s="11">
        <f t="shared" si="190"/>
        <v>0</v>
      </c>
      <c r="L994" s="11">
        <f t="shared" si="191"/>
        <v>0</v>
      </c>
      <c r="M994" s="12" t="str">
        <f t="shared" si="192"/>
        <v/>
      </c>
      <c r="N994" s="11">
        <f t="shared" si="193"/>
        <v>0</v>
      </c>
      <c r="O994" s="12" t="str">
        <f t="shared" si="194"/>
        <v/>
      </c>
      <c r="P994" s="12" t="str">
        <f t="shared" si="195"/>
        <v/>
      </c>
      <c r="Q994" s="13" t="str">
        <f t="shared" si="187"/>
        <v/>
      </c>
      <c r="R994" s="13" t="str">
        <f t="shared" si="188"/>
        <v/>
      </c>
    </row>
    <row r="995" spans="1:18" ht="15.75" customHeight="1" x14ac:dyDescent="0.3">
      <c r="A995" s="7" t="s">
        <v>277</v>
      </c>
      <c r="B995" s="7" t="s">
        <v>223</v>
      </c>
      <c r="C995" s="24" t="s">
        <v>58</v>
      </c>
      <c r="D995" s="24" t="s">
        <v>64</v>
      </c>
      <c r="E995" s="8">
        <v>46195</v>
      </c>
      <c r="F995" s="8">
        <v>46203</v>
      </c>
      <c r="G995" s="9">
        <f t="shared" si="189"/>
        <v>9</v>
      </c>
      <c r="H995" s="10"/>
      <c r="I995" s="10"/>
      <c r="J995" s="10"/>
      <c r="K995" s="11">
        <f t="shared" si="190"/>
        <v>0</v>
      </c>
      <c r="L995" s="11">
        <f t="shared" si="191"/>
        <v>0</v>
      </c>
      <c r="M995" s="12" t="str">
        <f t="shared" si="192"/>
        <v/>
      </c>
      <c r="N995" s="11">
        <f t="shared" si="193"/>
        <v>0</v>
      </c>
      <c r="O995" s="12" t="str">
        <f t="shared" si="194"/>
        <v/>
      </c>
      <c r="P995" s="12" t="str">
        <f t="shared" si="195"/>
        <v/>
      </c>
      <c r="Q995" s="13" t="str">
        <f t="shared" si="187"/>
        <v/>
      </c>
      <c r="R995" s="13" t="str">
        <f t="shared" si="188"/>
        <v/>
      </c>
    </row>
    <row r="996" spans="1:18" ht="15.75" customHeight="1" x14ac:dyDescent="0.3">
      <c r="A996" s="7" t="s">
        <v>277</v>
      </c>
      <c r="B996" s="7" t="s">
        <v>200</v>
      </c>
      <c r="C996" s="24" t="s">
        <v>58</v>
      </c>
      <c r="D996" s="24" t="s">
        <v>66</v>
      </c>
      <c r="E996" s="8">
        <v>46195</v>
      </c>
      <c r="F996" s="8">
        <v>46203</v>
      </c>
      <c r="G996" s="9">
        <f t="shared" si="189"/>
        <v>9</v>
      </c>
      <c r="H996" s="10"/>
      <c r="I996" s="10"/>
      <c r="J996" s="10"/>
      <c r="K996" s="11">
        <f t="shared" si="190"/>
        <v>0</v>
      </c>
      <c r="L996" s="11">
        <f t="shared" si="191"/>
        <v>0</v>
      </c>
      <c r="M996" s="12" t="str">
        <f t="shared" si="192"/>
        <v/>
      </c>
      <c r="N996" s="11">
        <f t="shared" si="193"/>
        <v>0</v>
      </c>
      <c r="O996" s="12" t="str">
        <f t="shared" si="194"/>
        <v/>
      </c>
      <c r="P996" s="12" t="str">
        <f t="shared" si="195"/>
        <v/>
      </c>
      <c r="Q996" s="13" t="str">
        <f t="shared" si="187"/>
        <v/>
      </c>
      <c r="R996" s="13" t="str">
        <f t="shared" si="188"/>
        <v/>
      </c>
    </row>
    <row r="997" spans="1:18" ht="15.75" customHeight="1" x14ac:dyDescent="0.3">
      <c r="A997" s="7" t="s">
        <v>277</v>
      </c>
      <c r="B997" s="7" t="s">
        <v>201</v>
      </c>
      <c r="C997" s="24" t="s">
        <v>58</v>
      </c>
      <c r="D997" s="24" t="s">
        <v>68</v>
      </c>
      <c r="E997" s="8">
        <v>46195</v>
      </c>
      <c r="F997" s="8">
        <v>46203</v>
      </c>
      <c r="G997" s="9">
        <f t="shared" si="189"/>
        <v>9</v>
      </c>
      <c r="H997" s="10"/>
      <c r="I997" s="10"/>
      <c r="J997" s="10"/>
      <c r="K997" s="11">
        <f t="shared" si="190"/>
        <v>0</v>
      </c>
      <c r="L997" s="11">
        <f t="shared" si="191"/>
        <v>0</v>
      </c>
      <c r="M997" s="12" t="str">
        <f t="shared" si="192"/>
        <v/>
      </c>
      <c r="N997" s="11">
        <f t="shared" si="193"/>
        <v>0</v>
      </c>
      <c r="O997" s="12" t="str">
        <f t="shared" si="194"/>
        <v/>
      </c>
      <c r="P997" s="12" t="str">
        <f t="shared" si="195"/>
        <v/>
      </c>
      <c r="Q997" s="13" t="str">
        <f t="shared" si="187"/>
        <v/>
      </c>
      <c r="R997" s="13" t="str">
        <f t="shared" si="188"/>
        <v/>
      </c>
    </row>
    <row r="998" spans="1:18" ht="15.75" customHeight="1" x14ac:dyDescent="0.3">
      <c r="A998" s="7" t="s">
        <v>277</v>
      </c>
      <c r="B998" s="7" t="s">
        <v>266</v>
      </c>
      <c r="C998" s="24" t="s">
        <v>58</v>
      </c>
      <c r="D998" s="24" t="s">
        <v>66</v>
      </c>
      <c r="E998" s="8">
        <v>46195</v>
      </c>
      <c r="F998" s="8">
        <v>46203</v>
      </c>
      <c r="G998" s="9">
        <f t="shared" si="189"/>
        <v>9</v>
      </c>
      <c r="H998" s="10"/>
      <c r="I998" s="10"/>
      <c r="J998" s="10"/>
      <c r="K998" s="11">
        <f t="shared" si="190"/>
        <v>0</v>
      </c>
      <c r="L998" s="11">
        <f t="shared" si="191"/>
        <v>0</v>
      </c>
      <c r="M998" s="12" t="str">
        <f t="shared" si="192"/>
        <v/>
      </c>
      <c r="N998" s="11">
        <f t="shared" si="193"/>
        <v>0</v>
      </c>
      <c r="O998" s="12" t="str">
        <f t="shared" si="194"/>
        <v/>
      </c>
      <c r="P998" s="12" t="str">
        <f t="shared" si="195"/>
        <v/>
      </c>
      <c r="Q998" s="13" t="str">
        <f t="shared" si="187"/>
        <v/>
      </c>
      <c r="R998" s="13" t="str">
        <f t="shared" si="188"/>
        <v/>
      </c>
    </row>
    <row r="999" spans="1:18" ht="15.75" customHeight="1" x14ac:dyDescent="0.3">
      <c r="A999" s="7" t="s">
        <v>277</v>
      </c>
      <c r="B999" s="7" t="s">
        <v>73</v>
      </c>
      <c r="C999" s="24" t="s">
        <v>58</v>
      </c>
      <c r="D999" s="24" t="s">
        <v>74</v>
      </c>
      <c r="E999" s="8">
        <v>46195</v>
      </c>
      <c r="F999" s="8">
        <v>46203</v>
      </c>
      <c r="G999" s="9">
        <f t="shared" si="189"/>
        <v>9</v>
      </c>
      <c r="H999" s="10"/>
      <c r="I999" s="10"/>
      <c r="J999" s="10"/>
      <c r="K999" s="11">
        <f t="shared" si="190"/>
        <v>0</v>
      </c>
      <c r="L999" s="11">
        <f t="shared" si="191"/>
        <v>0</v>
      </c>
      <c r="M999" s="12" t="str">
        <f t="shared" si="192"/>
        <v/>
      </c>
      <c r="N999" s="11">
        <f t="shared" si="193"/>
        <v>0</v>
      </c>
      <c r="O999" s="12" t="str">
        <f t="shared" si="194"/>
        <v/>
      </c>
      <c r="P999" s="12" t="str">
        <f t="shared" si="195"/>
        <v/>
      </c>
      <c r="Q999" s="13" t="str">
        <f t="shared" si="187"/>
        <v/>
      </c>
      <c r="R999" s="13" t="str">
        <f t="shared" si="188"/>
        <v/>
      </c>
    </row>
    <row r="1000" spans="1:18" ht="15.75" customHeight="1" x14ac:dyDescent="0.3">
      <c r="A1000" s="7" t="s">
        <v>277</v>
      </c>
      <c r="B1000" s="7" t="s">
        <v>75</v>
      </c>
      <c r="C1000" s="24" t="s">
        <v>58</v>
      </c>
      <c r="D1000" s="24" t="s">
        <v>74</v>
      </c>
      <c r="E1000" s="8">
        <v>46195</v>
      </c>
      <c r="F1000" s="8">
        <v>46203</v>
      </c>
      <c r="G1000" s="9">
        <f t="shared" si="189"/>
        <v>9</v>
      </c>
      <c r="H1000" s="10"/>
      <c r="I1000" s="10"/>
      <c r="J1000" s="10"/>
      <c r="K1000" s="11">
        <f t="shared" si="190"/>
        <v>0</v>
      </c>
      <c r="L1000" s="11">
        <f t="shared" si="191"/>
        <v>0</v>
      </c>
      <c r="M1000" s="12" t="str">
        <f t="shared" si="192"/>
        <v/>
      </c>
      <c r="N1000" s="11">
        <f t="shared" si="193"/>
        <v>0</v>
      </c>
      <c r="O1000" s="12" t="str">
        <f t="shared" si="194"/>
        <v/>
      </c>
      <c r="P1000" s="12" t="str">
        <f t="shared" si="195"/>
        <v/>
      </c>
      <c r="Q1000" s="13" t="str">
        <f t="shared" si="187"/>
        <v/>
      </c>
      <c r="R1000" s="13" t="str">
        <f t="shared" si="188"/>
        <v/>
      </c>
    </row>
    <row r="1001" spans="1:18" ht="15.75" customHeight="1" x14ac:dyDescent="0.3">
      <c r="A1001" s="7" t="s">
        <v>277</v>
      </c>
      <c r="B1001" s="7" t="s">
        <v>180</v>
      </c>
      <c r="C1001" s="24" t="s">
        <v>58</v>
      </c>
      <c r="D1001" s="24" t="s">
        <v>59</v>
      </c>
      <c r="E1001" s="8">
        <v>46195</v>
      </c>
      <c r="F1001" s="8">
        <v>46203</v>
      </c>
      <c r="G1001" s="9">
        <f t="shared" si="189"/>
        <v>9</v>
      </c>
      <c r="H1001" s="10"/>
      <c r="I1001" s="10"/>
      <c r="J1001" s="10"/>
      <c r="K1001" s="11">
        <f t="shared" si="190"/>
        <v>0</v>
      </c>
      <c r="L1001" s="11">
        <f t="shared" si="191"/>
        <v>0</v>
      </c>
      <c r="M1001" s="12" t="str">
        <f t="shared" si="192"/>
        <v/>
      </c>
      <c r="N1001" s="11">
        <f t="shared" si="193"/>
        <v>0</v>
      </c>
      <c r="O1001" s="12" t="str">
        <f t="shared" si="194"/>
        <v/>
      </c>
      <c r="P1001" s="12" t="str">
        <f t="shared" si="195"/>
        <v/>
      </c>
      <c r="Q1001" s="13" t="str">
        <f t="shared" si="187"/>
        <v/>
      </c>
      <c r="R1001" s="13" t="str">
        <f t="shared" si="188"/>
        <v/>
      </c>
    </row>
    <row r="1002" spans="1:18" ht="15.75" customHeight="1" x14ac:dyDescent="0.3">
      <c r="A1002" s="7" t="s">
        <v>281</v>
      </c>
      <c r="B1002" s="7" t="s">
        <v>33</v>
      </c>
      <c r="C1002" s="24" t="s">
        <v>34</v>
      </c>
      <c r="D1002" s="24" t="s">
        <v>35</v>
      </c>
      <c r="E1002" s="8">
        <v>46204</v>
      </c>
      <c r="F1002" s="8">
        <v>46205</v>
      </c>
      <c r="G1002" s="9">
        <f t="shared" si="189"/>
        <v>2</v>
      </c>
      <c r="H1002" s="10"/>
      <c r="I1002" s="10"/>
      <c r="J1002" s="10"/>
      <c r="K1002" s="11">
        <f t="shared" si="190"/>
        <v>0</v>
      </c>
      <c r="L1002" s="11">
        <f t="shared" si="191"/>
        <v>0</v>
      </c>
      <c r="M1002" s="12" t="str">
        <f t="shared" si="192"/>
        <v/>
      </c>
      <c r="N1002" s="11">
        <f t="shared" si="193"/>
        <v>0</v>
      </c>
      <c r="O1002" s="12" t="str">
        <f t="shared" si="194"/>
        <v/>
      </c>
      <c r="P1002" s="12" t="str">
        <f t="shared" si="195"/>
        <v/>
      </c>
      <c r="Q1002" s="13" t="str">
        <f t="shared" si="187"/>
        <v/>
      </c>
      <c r="R1002" s="13" t="str">
        <f t="shared" si="188"/>
        <v/>
      </c>
    </row>
    <row r="1003" spans="1:18" ht="15.75" customHeight="1" x14ac:dyDescent="0.3">
      <c r="A1003" s="7" t="s">
        <v>281</v>
      </c>
      <c r="B1003" s="7" t="s">
        <v>36</v>
      </c>
      <c r="C1003" s="24" t="s">
        <v>34</v>
      </c>
      <c r="D1003" s="24" t="s">
        <v>35</v>
      </c>
      <c r="E1003" s="8">
        <v>46204</v>
      </c>
      <c r="F1003" s="8">
        <v>46205</v>
      </c>
      <c r="G1003" s="9">
        <f t="shared" si="189"/>
        <v>2</v>
      </c>
      <c r="H1003" s="10"/>
      <c r="I1003" s="10"/>
      <c r="J1003" s="10"/>
      <c r="K1003" s="11">
        <f t="shared" si="190"/>
        <v>0</v>
      </c>
      <c r="L1003" s="11">
        <f t="shared" si="191"/>
        <v>0</v>
      </c>
      <c r="M1003" s="12" t="str">
        <f t="shared" si="192"/>
        <v/>
      </c>
      <c r="N1003" s="11">
        <f t="shared" si="193"/>
        <v>0</v>
      </c>
      <c r="O1003" s="12" t="str">
        <f t="shared" si="194"/>
        <v/>
      </c>
      <c r="P1003" s="12" t="str">
        <f t="shared" si="195"/>
        <v/>
      </c>
      <c r="Q1003" s="13" t="str">
        <f t="shared" si="187"/>
        <v/>
      </c>
      <c r="R1003" s="13" t="str">
        <f t="shared" si="188"/>
        <v/>
      </c>
    </row>
    <row r="1004" spans="1:18" ht="15.75" customHeight="1" x14ac:dyDescent="0.3">
      <c r="A1004" s="7" t="s">
        <v>281</v>
      </c>
      <c r="B1004" s="7" t="s">
        <v>282</v>
      </c>
      <c r="C1004" s="24" t="s">
        <v>34</v>
      </c>
      <c r="D1004" s="24" t="s">
        <v>35</v>
      </c>
      <c r="E1004" s="8">
        <v>46204</v>
      </c>
      <c r="F1004" s="8">
        <v>46205</v>
      </c>
      <c r="G1004" s="9">
        <f t="shared" si="189"/>
        <v>2</v>
      </c>
      <c r="H1004" s="10"/>
      <c r="I1004" s="10"/>
      <c r="J1004" s="10"/>
      <c r="K1004" s="11">
        <f t="shared" si="190"/>
        <v>0</v>
      </c>
      <c r="L1004" s="11">
        <f t="shared" si="191"/>
        <v>0</v>
      </c>
      <c r="M1004" s="12" t="str">
        <f t="shared" si="192"/>
        <v/>
      </c>
      <c r="N1004" s="11">
        <f t="shared" si="193"/>
        <v>0</v>
      </c>
      <c r="O1004" s="12" t="str">
        <f t="shared" si="194"/>
        <v/>
      </c>
      <c r="P1004" s="12" t="str">
        <f t="shared" si="195"/>
        <v/>
      </c>
      <c r="Q1004" s="13" t="str">
        <f t="shared" si="187"/>
        <v/>
      </c>
      <c r="R1004" s="13" t="str">
        <f t="shared" si="188"/>
        <v/>
      </c>
    </row>
    <row r="1005" spans="1:18" ht="15.75" customHeight="1" x14ac:dyDescent="0.3">
      <c r="A1005" s="7" t="s">
        <v>281</v>
      </c>
      <c r="B1005" s="7" t="s">
        <v>78</v>
      </c>
      <c r="C1005" s="24" t="s">
        <v>34</v>
      </c>
      <c r="D1005" s="24" t="s">
        <v>35</v>
      </c>
      <c r="E1005" s="8">
        <v>46204</v>
      </c>
      <c r="F1005" s="8">
        <v>46205</v>
      </c>
      <c r="G1005" s="9">
        <f t="shared" si="189"/>
        <v>2</v>
      </c>
      <c r="H1005" s="10"/>
      <c r="I1005" s="10"/>
      <c r="J1005" s="10"/>
      <c r="K1005" s="11">
        <f t="shared" si="190"/>
        <v>0</v>
      </c>
      <c r="L1005" s="11">
        <f t="shared" si="191"/>
        <v>0</v>
      </c>
      <c r="M1005" s="12" t="str">
        <f t="shared" si="192"/>
        <v/>
      </c>
      <c r="N1005" s="11">
        <f t="shared" si="193"/>
        <v>0</v>
      </c>
      <c r="O1005" s="12" t="str">
        <f t="shared" si="194"/>
        <v/>
      </c>
      <c r="P1005" s="12" t="str">
        <f t="shared" si="195"/>
        <v/>
      </c>
      <c r="Q1005" s="13" t="str">
        <f t="shared" ref="Q1005:Q1068" si="196">IFERROR((I1005/H1005)*K1005,"")</f>
        <v/>
      </c>
      <c r="R1005" s="13" t="str">
        <f t="shared" ref="R1005:R1068" si="197">IFERROR((J1005/H1005)*K1005,"")</f>
        <v/>
      </c>
    </row>
    <row r="1006" spans="1:18" ht="15.75" customHeight="1" x14ac:dyDescent="0.3">
      <c r="A1006" s="7" t="s">
        <v>281</v>
      </c>
      <c r="B1006" s="7" t="s">
        <v>242</v>
      </c>
      <c r="C1006" s="24" t="s">
        <v>34</v>
      </c>
      <c r="D1006" s="24" t="s">
        <v>35</v>
      </c>
      <c r="E1006" s="8">
        <v>46204</v>
      </c>
      <c r="F1006" s="8">
        <v>46205</v>
      </c>
      <c r="G1006" s="9">
        <f t="shared" si="189"/>
        <v>2</v>
      </c>
      <c r="H1006" s="10"/>
      <c r="I1006" s="10"/>
      <c r="J1006" s="10"/>
      <c r="K1006" s="11">
        <f t="shared" si="190"/>
        <v>0</v>
      </c>
      <c r="L1006" s="11">
        <f t="shared" si="191"/>
        <v>0</v>
      </c>
      <c r="M1006" s="12" t="str">
        <f t="shared" si="192"/>
        <v/>
      </c>
      <c r="N1006" s="11">
        <f t="shared" si="193"/>
        <v>0</v>
      </c>
      <c r="O1006" s="12" t="str">
        <f t="shared" si="194"/>
        <v/>
      </c>
      <c r="P1006" s="12" t="str">
        <f t="shared" si="195"/>
        <v/>
      </c>
      <c r="Q1006" s="13" t="str">
        <f t="shared" si="196"/>
        <v/>
      </c>
      <c r="R1006" s="13" t="str">
        <f t="shared" si="197"/>
        <v/>
      </c>
    </row>
    <row r="1007" spans="1:18" ht="15.75" customHeight="1" x14ac:dyDescent="0.3">
      <c r="A1007" s="7" t="s">
        <v>281</v>
      </c>
      <c r="B1007" s="7" t="s">
        <v>90</v>
      </c>
      <c r="C1007" s="24" t="s">
        <v>34</v>
      </c>
      <c r="D1007" s="24" t="s">
        <v>91</v>
      </c>
      <c r="E1007" s="8">
        <v>46204</v>
      </c>
      <c r="F1007" s="8">
        <v>46205</v>
      </c>
      <c r="G1007" s="9">
        <f t="shared" si="189"/>
        <v>2</v>
      </c>
      <c r="H1007" s="10"/>
      <c r="I1007" s="10"/>
      <c r="J1007" s="10"/>
      <c r="K1007" s="11">
        <f t="shared" si="190"/>
        <v>0</v>
      </c>
      <c r="L1007" s="11">
        <f t="shared" si="191"/>
        <v>0</v>
      </c>
      <c r="M1007" s="12" t="str">
        <f t="shared" si="192"/>
        <v/>
      </c>
      <c r="N1007" s="11">
        <f t="shared" si="193"/>
        <v>0</v>
      </c>
      <c r="O1007" s="12" t="str">
        <f t="shared" si="194"/>
        <v/>
      </c>
      <c r="P1007" s="12" t="str">
        <f t="shared" si="195"/>
        <v/>
      </c>
      <c r="Q1007" s="13" t="str">
        <f t="shared" si="196"/>
        <v/>
      </c>
      <c r="R1007" s="13" t="str">
        <f t="shared" si="197"/>
        <v/>
      </c>
    </row>
    <row r="1008" spans="1:18" ht="15.75" customHeight="1" x14ac:dyDescent="0.3">
      <c r="A1008" s="7" t="s">
        <v>281</v>
      </c>
      <c r="B1008" s="7" t="s">
        <v>283</v>
      </c>
      <c r="C1008" s="24" t="s">
        <v>34</v>
      </c>
      <c r="D1008" s="24" t="s">
        <v>91</v>
      </c>
      <c r="E1008" s="8">
        <v>46204</v>
      </c>
      <c r="F1008" s="8">
        <v>46205</v>
      </c>
      <c r="G1008" s="9">
        <f t="shared" si="189"/>
        <v>2</v>
      </c>
      <c r="H1008" s="10"/>
      <c r="I1008" s="10"/>
      <c r="J1008" s="10"/>
      <c r="K1008" s="11">
        <f t="shared" si="190"/>
        <v>0</v>
      </c>
      <c r="L1008" s="11">
        <f t="shared" si="191"/>
        <v>0</v>
      </c>
      <c r="M1008" s="12" t="str">
        <f t="shared" si="192"/>
        <v/>
      </c>
      <c r="N1008" s="11">
        <f t="shared" si="193"/>
        <v>0</v>
      </c>
      <c r="O1008" s="12" t="str">
        <f t="shared" si="194"/>
        <v/>
      </c>
      <c r="P1008" s="12" t="str">
        <f t="shared" si="195"/>
        <v/>
      </c>
      <c r="Q1008" s="13" t="str">
        <f t="shared" si="196"/>
        <v/>
      </c>
      <c r="R1008" s="13" t="str">
        <f t="shared" si="197"/>
        <v/>
      </c>
    </row>
    <row r="1009" spans="1:18" ht="15.75" customHeight="1" x14ac:dyDescent="0.3">
      <c r="A1009" s="7" t="s">
        <v>281</v>
      </c>
      <c r="B1009" s="7" t="s">
        <v>284</v>
      </c>
      <c r="C1009" s="24" t="s">
        <v>34</v>
      </c>
      <c r="D1009" s="24" t="s">
        <v>91</v>
      </c>
      <c r="E1009" s="8">
        <v>46204</v>
      </c>
      <c r="F1009" s="8">
        <v>46205</v>
      </c>
      <c r="G1009" s="9">
        <f t="shared" si="189"/>
        <v>2</v>
      </c>
      <c r="H1009" s="10"/>
      <c r="I1009" s="10"/>
      <c r="J1009" s="10"/>
      <c r="K1009" s="11">
        <f t="shared" si="190"/>
        <v>0</v>
      </c>
      <c r="L1009" s="11">
        <f t="shared" si="191"/>
        <v>0</v>
      </c>
      <c r="M1009" s="12" t="str">
        <f t="shared" si="192"/>
        <v/>
      </c>
      <c r="N1009" s="11">
        <f t="shared" si="193"/>
        <v>0</v>
      </c>
      <c r="O1009" s="12" t="str">
        <f t="shared" si="194"/>
        <v/>
      </c>
      <c r="P1009" s="12" t="str">
        <f t="shared" si="195"/>
        <v/>
      </c>
      <c r="Q1009" s="13" t="str">
        <f t="shared" si="196"/>
        <v/>
      </c>
      <c r="R1009" s="13" t="str">
        <f t="shared" si="197"/>
        <v/>
      </c>
    </row>
    <row r="1010" spans="1:18" ht="15.75" customHeight="1" x14ac:dyDescent="0.3">
      <c r="A1010" s="7" t="s">
        <v>281</v>
      </c>
      <c r="B1010" s="7" t="s">
        <v>41</v>
      </c>
      <c r="C1010" s="24" t="s">
        <v>34</v>
      </c>
      <c r="D1010" s="24" t="s">
        <v>39</v>
      </c>
      <c r="E1010" s="8">
        <v>46204</v>
      </c>
      <c r="F1010" s="8">
        <v>46205</v>
      </c>
      <c r="G1010" s="9">
        <f t="shared" si="189"/>
        <v>2</v>
      </c>
      <c r="H1010" s="10"/>
      <c r="I1010" s="10"/>
      <c r="J1010" s="10"/>
      <c r="K1010" s="11">
        <f t="shared" si="190"/>
        <v>0</v>
      </c>
      <c r="L1010" s="11">
        <f t="shared" si="191"/>
        <v>0</v>
      </c>
      <c r="M1010" s="12" t="str">
        <f t="shared" si="192"/>
        <v/>
      </c>
      <c r="N1010" s="11">
        <f t="shared" si="193"/>
        <v>0</v>
      </c>
      <c r="O1010" s="12" t="str">
        <f t="shared" si="194"/>
        <v/>
      </c>
      <c r="P1010" s="12" t="str">
        <f t="shared" si="195"/>
        <v/>
      </c>
      <c r="Q1010" s="13" t="str">
        <f t="shared" si="196"/>
        <v/>
      </c>
      <c r="R1010" s="13" t="str">
        <f t="shared" si="197"/>
        <v/>
      </c>
    </row>
    <row r="1011" spans="1:18" ht="15.75" customHeight="1" x14ac:dyDescent="0.3">
      <c r="A1011" s="7" t="s">
        <v>281</v>
      </c>
      <c r="B1011" s="7" t="s">
        <v>42</v>
      </c>
      <c r="C1011" s="24" t="s">
        <v>34</v>
      </c>
      <c r="D1011" s="24" t="s">
        <v>39</v>
      </c>
      <c r="E1011" s="8">
        <v>46204</v>
      </c>
      <c r="F1011" s="8">
        <v>46205</v>
      </c>
      <c r="G1011" s="9">
        <f t="shared" ref="G1011:G1074" si="198">F1011-E1011+1</f>
        <v>2</v>
      </c>
      <c r="H1011" s="10"/>
      <c r="I1011" s="10"/>
      <c r="J1011" s="10"/>
      <c r="K1011" s="11">
        <f t="shared" si="190"/>
        <v>0</v>
      </c>
      <c r="L1011" s="11">
        <f t="shared" si="191"/>
        <v>0</v>
      </c>
      <c r="M1011" s="12" t="str">
        <f t="shared" si="192"/>
        <v/>
      </c>
      <c r="N1011" s="11">
        <f t="shared" si="193"/>
        <v>0</v>
      </c>
      <c r="O1011" s="12" t="str">
        <f t="shared" si="194"/>
        <v/>
      </c>
      <c r="P1011" s="12" t="str">
        <f t="shared" si="195"/>
        <v/>
      </c>
      <c r="Q1011" s="13" t="str">
        <f t="shared" si="196"/>
        <v/>
      </c>
      <c r="R1011" s="13" t="str">
        <f t="shared" si="197"/>
        <v/>
      </c>
    </row>
    <row r="1012" spans="1:18" ht="15.75" customHeight="1" x14ac:dyDescent="0.3">
      <c r="A1012" s="7" t="s">
        <v>281</v>
      </c>
      <c r="B1012" s="7" t="s">
        <v>45</v>
      </c>
      <c r="C1012" s="24" t="s">
        <v>34</v>
      </c>
      <c r="D1012" s="24" t="s">
        <v>44</v>
      </c>
      <c r="E1012" s="8">
        <v>46204</v>
      </c>
      <c r="F1012" s="8">
        <v>46205</v>
      </c>
      <c r="G1012" s="9">
        <f t="shared" si="198"/>
        <v>2</v>
      </c>
      <c r="H1012" s="10"/>
      <c r="I1012" s="10"/>
      <c r="J1012" s="10"/>
      <c r="K1012" s="11">
        <f t="shared" si="190"/>
        <v>0</v>
      </c>
      <c r="L1012" s="11">
        <f t="shared" si="191"/>
        <v>0</v>
      </c>
      <c r="M1012" s="12" t="str">
        <f t="shared" si="192"/>
        <v/>
      </c>
      <c r="N1012" s="11">
        <f t="shared" si="193"/>
        <v>0</v>
      </c>
      <c r="O1012" s="12" t="str">
        <f t="shared" si="194"/>
        <v/>
      </c>
      <c r="P1012" s="12" t="str">
        <f t="shared" si="195"/>
        <v/>
      </c>
      <c r="Q1012" s="13" t="str">
        <f t="shared" si="196"/>
        <v/>
      </c>
      <c r="R1012" s="13" t="str">
        <f t="shared" si="197"/>
        <v/>
      </c>
    </row>
    <row r="1013" spans="1:18" ht="15.75" customHeight="1" x14ac:dyDescent="0.3">
      <c r="A1013" s="7" t="s">
        <v>281</v>
      </c>
      <c r="B1013" s="7" t="s">
        <v>220</v>
      </c>
      <c r="C1013" s="24" t="s">
        <v>34</v>
      </c>
      <c r="D1013" s="24" t="s">
        <v>44</v>
      </c>
      <c r="E1013" s="8">
        <v>46204</v>
      </c>
      <c r="F1013" s="8">
        <v>46205</v>
      </c>
      <c r="G1013" s="9">
        <f t="shared" si="198"/>
        <v>2</v>
      </c>
      <c r="H1013" s="10"/>
      <c r="I1013" s="10"/>
      <c r="J1013" s="10"/>
      <c r="K1013" s="11">
        <f t="shared" si="190"/>
        <v>0</v>
      </c>
      <c r="L1013" s="11">
        <f t="shared" si="191"/>
        <v>0</v>
      </c>
      <c r="M1013" s="12" t="str">
        <f t="shared" si="192"/>
        <v/>
      </c>
      <c r="N1013" s="11">
        <f t="shared" si="193"/>
        <v>0</v>
      </c>
      <c r="O1013" s="12" t="str">
        <f t="shared" si="194"/>
        <v/>
      </c>
      <c r="P1013" s="12" t="str">
        <f t="shared" si="195"/>
        <v/>
      </c>
      <c r="Q1013" s="13" t="str">
        <f t="shared" si="196"/>
        <v/>
      </c>
      <c r="R1013" s="13" t="str">
        <f t="shared" si="197"/>
        <v/>
      </c>
    </row>
    <row r="1014" spans="1:18" ht="15.75" customHeight="1" x14ac:dyDescent="0.3">
      <c r="A1014" s="7" t="s">
        <v>281</v>
      </c>
      <c r="B1014" s="7" t="s">
        <v>43</v>
      </c>
      <c r="C1014" s="24" t="s">
        <v>34</v>
      </c>
      <c r="D1014" s="24" t="s">
        <v>44</v>
      </c>
      <c r="E1014" s="8">
        <v>46204</v>
      </c>
      <c r="F1014" s="8">
        <v>46205</v>
      </c>
      <c r="G1014" s="9">
        <f t="shared" si="198"/>
        <v>2</v>
      </c>
      <c r="H1014" s="10"/>
      <c r="I1014" s="10"/>
      <c r="J1014" s="10"/>
      <c r="K1014" s="11">
        <f t="shared" si="190"/>
        <v>0</v>
      </c>
      <c r="L1014" s="11">
        <f t="shared" si="191"/>
        <v>0</v>
      </c>
      <c r="M1014" s="12" t="str">
        <f t="shared" si="192"/>
        <v/>
      </c>
      <c r="N1014" s="11">
        <f t="shared" si="193"/>
        <v>0</v>
      </c>
      <c r="O1014" s="12" t="str">
        <f t="shared" si="194"/>
        <v/>
      </c>
      <c r="P1014" s="12" t="str">
        <f t="shared" si="195"/>
        <v/>
      </c>
      <c r="Q1014" s="13" t="str">
        <f t="shared" si="196"/>
        <v/>
      </c>
      <c r="R1014" s="13" t="str">
        <f t="shared" si="197"/>
        <v/>
      </c>
    </row>
    <row r="1015" spans="1:18" ht="15.75" customHeight="1" x14ac:dyDescent="0.3">
      <c r="A1015" s="7" t="s">
        <v>281</v>
      </c>
      <c r="B1015" s="7" t="s">
        <v>117</v>
      </c>
      <c r="C1015" s="24" t="s">
        <v>47</v>
      </c>
      <c r="D1015" s="24" t="s">
        <v>48</v>
      </c>
      <c r="E1015" s="8">
        <v>46204</v>
      </c>
      <c r="F1015" s="8">
        <v>46205</v>
      </c>
      <c r="G1015" s="9">
        <f t="shared" si="198"/>
        <v>2</v>
      </c>
      <c r="H1015" s="10"/>
      <c r="I1015" s="10"/>
      <c r="J1015" s="10"/>
      <c r="K1015" s="11">
        <f t="shared" si="190"/>
        <v>0</v>
      </c>
      <c r="L1015" s="11">
        <f t="shared" si="191"/>
        <v>0</v>
      </c>
      <c r="M1015" s="12" t="str">
        <f t="shared" si="192"/>
        <v/>
      </c>
      <c r="N1015" s="11">
        <f t="shared" si="193"/>
        <v>0</v>
      </c>
      <c r="O1015" s="12" t="str">
        <f t="shared" si="194"/>
        <v/>
      </c>
      <c r="P1015" s="12" t="str">
        <f t="shared" si="195"/>
        <v/>
      </c>
      <c r="Q1015" s="13" t="str">
        <f t="shared" si="196"/>
        <v/>
      </c>
      <c r="R1015" s="13" t="str">
        <f t="shared" si="197"/>
        <v/>
      </c>
    </row>
    <row r="1016" spans="1:18" ht="15.75" customHeight="1" x14ac:dyDescent="0.3">
      <c r="A1016" s="7" t="s">
        <v>281</v>
      </c>
      <c r="B1016" s="7" t="s">
        <v>118</v>
      </c>
      <c r="C1016" s="24" t="s">
        <v>47</v>
      </c>
      <c r="D1016" s="24" t="s">
        <v>48</v>
      </c>
      <c r="E1016" s="8">
        <v>46204</v>
      </c>
      <c r="F1016" s="8">
        <v>46205</v>
      </c>
      <c r="G1016" s="9">
        <f t="shared" si="198"/>
        <v>2</v>
      </c>
      <c r="H1016" s="10"/>
      <c r="I1016" s="10"/>
      <c r="J1016" s="10"/>
      <c r="K1016" s="11">
        <f t="shared" ref="K1016:K1079" si="199">IFERROR(H1016/G1016,"")</f>
        <v>0</v>
      </c>
      <c r="L1016" s="11">
        <f t="shared" ref="L1016:L1079" si="200">IFERROR(I1016/G1016,"")</f>
        <v>0</v>
      </c>
      <c r="M1016" s="12" t="str">
        <f t="shared" ref="M1016:M1079" si="201">IFERROR(I1016/H1016,"")</f>
        <v/>
      </c>
      <c r="N1016" s="11">
        <f t="shared" ref="N1016:N1079" si="202">IFERROR(J1016/G1016,"")</f>
        <v>0</v>
      </c>
      <c r="O1016" s="12" t="str">
        <f t="shared" ref="O1016:O1079" si="203">IFERROR(J1016/I1016,"")</f>
        <v/>
      </c>
      <c r="P1016" s="12" t="str">
        <f t="shared" ref="P1016:P1079" si="204">IFERROR(J1016/H1016,"")</f>
        <v/>
      </c>
      <c r="Q1016" s="13" t="str">
        <f t="shared" si="196"/>
        <v/>
      </c>
      <c r="R1016" s="13" t="str">
        <f t="shared" si="197"/>
        <v/>
      </c>
    </row>
    <row r="1017" spans="1:18" ht="15.75" customHeight="1" x14ac:dyDescent="0.3">
      <c r="A1017" s="7" t="s">
        <v>281</v>
      </c>
      <c r="B1017" s="7" t="s">
        <v>184</v>
      </c>
      <c r="C1017" s="24" t="s">
        <v>47</v>
      </c>
      <c r="D1017" s="24" t="s">
        <v>48</v>
      </c>
      <c r="E1017" s="8">
        <v>46204</v>
      </c>
      <c r="F1017" s="8">
        <v>46205</v>
      </c>
      <c r="G1017" s="9">
        <f t="shared" si="198"/>
        <v>2</v>
      </c>
      <c r="H1017" s="10"/>
      <c r="I1017" s="10"/>
      <c r="J1017" s="10"/>
      <c r="K1017" s="11">
        <f t="shared" si="199"/>
        <v>0</v>
      </c>
      <c r="L1017" s="11">
        <f t="shared" si="200"/>
        <v>0</v>
      </c>
      <c r="M1017" s="12" t="str">
        <f t="shared" si="201"/>
        <v/>
      </c>
      <c r="N1017" s="11">
        <f t="shared" si="202"/>
        <v>0</v>
      </c>
      <c r="O1017" s="12" t="str">
        <f t="shared" si="203"/>
        <v/>
      </c>
      <c r="P1017" s="12" t="str">
        <f t="shared" si="204"/>
        <v/>
      </c>
      <c r="Q1017" s="13" t="str">
        <f t="shared" si="196"/>
        <v/>
      </c>
      <c r="R1017" s="13" t="str">
        <f t="shared" si="197"/>
        <v/>
      </c>
    </row>
    <row r="1018" spans="1:18" ht="15.75" customHeight="1" x14ac:dyDescent="0.3">
      <c r="A1018" s="7" t="s">
        <v>281</v>
      </c>
      <c r="B1018" s="7" t="s">
        <v>185</v>
      </c>
      <c r="C1018" s="24" t="s">
        <v>47</v>
      </c>
      <c r="D1018" s="24" t="s">
        <v>48</v>
      </c>
      <c r="E1018" s="8">
        <v>46204</v>
      </c>
      <c r="F1018" s="8">
        <v>46205</v>
      </c>
      <c r="G1018" s="9">
        <f t="shared" si="198"/>
        <v>2</v>
      </c>
      <c r="H1018" s="10"/>
      <c r="I1018" s="10"/>
      <c r="J1018" s="10"/>
      <c r="K1018" s="11">
        <f t="shared" si="199"/>
        <v>0</v>
      </c>
      <c r="L1018" s="11">
        <f t="shared" si="200"/>
        <v>0</v>
      </c>
      <c r="M1018" s="12" t="str">
        <f t="shared" si="201"/>
        <v/>
      </c>
      <c r="N1018" s="11">
        <f t="shared" si="202"/>
        <v>0</v>
      </c>
      <c r="O1018" s="12" t="str">
        <f t="shared" si="203"/>
        <v/>
      </c>
      <c r="P1018" s="12" t="str">
        <f t="shared" si="204"/>
        <v/>
      </c>
      <c r="Q1018" s="13" t="str">
        <f t="shared" si="196"/>
        <v/>
      </c>
      <c r="R1018" s="13" t="str">
        <f t="shared" si="197"/>
        <v/>
      </c>
    </row>
    <row r="1019" spans="1:18" ht="15.75" customHeight="1" x14ac:dyDescent="0.3">
      <c r="A1019" s="7" t="s">
        <v>281</v>
      </c>
      <c r="B1019" s="7" t="s">
        <v>285</v>
      </c>
      <c r="C1019" s="24" t="s">
        <v>47</v>
      </c>
      <c r="D1019" s="24" t="s">
        <v>48</v>
      </c>
      <c r="E1019" s="8">
        <v>46204</v>
      </c>
      <c r="F1019" s="8">
        <v>46205</v>
      </c>
      <c r="G1019" s="9">
        <f t="shared" si="198"/>
        <v>2</v>
      </c>
      <c r="H1019" s="10"/>
      <c r="I1019" s="10"/>
      <c r="J1019" s="10"/>
      <c r="K1019" s="11">
        <f t="shared" si="199"/>
        <v>0</v>
      </c>
      <c r="L1019" s="11">
        <f t="shared" si="200"/>
        <v>0</v>
      </c>
      <c r="M1019" s="12" t="str">
        <f t="shared" si="201"/>
        <v/>
      </c>
      <c r="N1019" s="11">
        <f t="shared" si="202"/>
        <v>0</v>
      </c>
      <c r="O1019" s="12" t="str">
        <f t="shared" si="203"/>
        <v/>
      </c>
      <c r="P1019" s="12" t="str">
        <f t="shared" si="204"/>
        <v/>
      </c>
      <c r="Q1019" s="13" t="str">
        <f t="shared" si="196"/>
        <v/>
      </c>
      <c r="R1019" s="13" t="str">
        <f t="shared" si="197"/>
        <v/>
      </c>
    </row>
    <row r="1020" spans="1:18" ht="15.75" customHeight="1" x14ac:dyDescent="0.3">
      <c r="A1020" s="7" t="s">
        <v>281</v>
      </c>
      <c r="B1020" s="7" t="s">
        <v>286</v>
      </c>
      <c r="C1020" s="24" t="s">
        <v>47</v>
      </c>
      <c r="D1020" s="24" t="s">
        <v>48</v>
      </c>
      <c r="E1020" s="8">
        <v>46204</v>
      </c>
      <c r="F1020" s="8">
        <v>46205</v>
      </c>
      <c r="G1020" s="9">
        <f t="shared" si="198"/>
        <v>2</v>
      </c>
      <c r="H1020" s="10"/>
      <c r="I1020" s="10"/>
      <c r="J1020" s="10"/>
      <c r="K1020" s="11">
        <f t="shared" si="199"/>
        <v>0</v>
      </c>
      <c r="L1020" s="11">
        <f t="shared" si="200"/>
        <v>0</v>
      </c>
      <c r="M1020" s="12" t="str">
        <f t="shared" si="201"/>
        <v/>
      </c>
      <c r="N1020" s="11">
        <f t="shared" si="202"/>
        <v>0</v>
      </c>
      <c r="O1020" s="12" t="str">
        <f t="shared" si="203"/>
        <v/>
      </c>
      <c r="P1020" s="12" t="str">
        <f t="shared" si="204"/>
        <v/>
      </c>
      <c r="Q1020" s="13" t="str">
        <f t="shared" si="196"/>
        <v/>
      </c>
      <c r="R1020" s="13" t="str">
        <f t="shared" si="197"/>
        <v/>
      </c>
    </row>
    <row r="1021" spans="1:18" ht="15.75" customHeight="1" x14ac:dyDescent="0.3">
      <c r="A1021" s="7" t="s">
        <v>281</v>
      </c>
      <c r="B1021" s="7" t="s">
        <v>145</v>
      </c>
      <c r="C1021" s="24" t="s">
        <v>47</v>
      </c>
      <c r="D1021" s="24" t="s">
        <v>53</v>
      </c>
      <c r="E1021" s="8">
        <v>46204</v>
      </c>
      <c r="F1021" s="8">
        <v>46205</v>
      </c>
      <c r="G1021" s="9">
        <f t="shared" si="198"/>
        <v>2</v>
      </c>
      <c r="H1021" s="10"/>
      <c r="I1021" s="10"/>
      <c r="J1021" s="10"/>
      <c r="K1021" s="11">
        <f t="shared" si="199"/>
        <v>0</v>
      </c>
      <c r="L1021" s="11">
        <f t="shared" si="200"/>
        <v>0</v>
      </c>
      <c r="M1021" s="12" t="str">
        <f t="shared" si="201"/>
        <v/>
      </c>
      <c r="N1021" s="11">
        <f t="shared" si="202"/>
        <v>0</v>
      </c>
      <c r="O1021" s="12" t="str">
        <f t="shared" si="203"/>
        <v/>
      </c>
      <c r="P1021" s="12" t="str">
        <f t="shared" si="204"/>
        <v/>
      </c>
      <c r="Q1021" s="13" t="str">
        <f t="shared" si="196"/>
        <v/>
      </c>
      <c r="R1021" s="13" t="str">
        <f t="shared" si="197"/>
        <v/>
      </c>
    </row>
    <row r="1022" spans="1:18" ht="15.75" customHeight="1" x14ac:dyDescent="0.3">
      <c r="A1022" s="7" t="s">
        <v>281</v>
      </c>
      <c r="B1022" s="7" t="s">
        <v>98</v>
      </c>
      <c r="C1022" s="24" t="s">
        <v>47</v>
      </c>
      <c r="D1022" s="24" t="s">
        <v>53</v>
      </c>
      <c r="E1022" s="8">
        <v>46204</v>
      </c>
      <c r="F1022" s="8">
        <v>46205</v>
      </c>
      <c r="G1022" s="9">
        <f t="shared" si="198"/>
        <v>2</v>
      </c>
      <c r="H1022" s="10"/>
      <c r="I1022" s="10"/>
      <c r="J1022" s="10"/>
      <c r="K1022" s="11">
        <f t="shared" si="199"/>
        <v>0</v>
      </c>
      <c r="L1022" s="11">
        <f t="shared" si="200"/>
        <v>0</v>
      </c>
      <c r="M1022" s="12" t="str">
        <f t="shared" si="201"/>
        <v/>
      </c>
      <c r="N1022" s="11">
        <f t="shared" si="202"/>
        <v>0</v>
      </c>
      <c r="O1022" s="12" t="str">
        <f t="shared" si="203"/>
        <v/>
      </c>
      <c r="P1022" s="12" t="str">
        <f t="shared" si="204"/>
        <v/>
      </c>
      <c r="Q1022" s="13" t="str">
        <f t="shared" si="196"/>
        <v/>
      </c>
      <c r="R1022" s="13" t="str">
        <f t="shared" si="197"/>
        <v/>
      </c>
    </row>
    <row r="1023" spans="1:18" ht="15.75" customHeight="1" x14ac:dyDescent="0.3">
      <c r="A1023" s="7" t="s">
        <v>281</v>
      </c>
      <c r="B1023" s="7" t="s">
        <v>279</v>
      </c>
      <c r="C1023" s="24" t="s">
        <v>47</v>
      </c>
      <c r="D1023" s="24" t="s">
        <v>433</v>
      </c>
      <c r="E1023" s="8">
        <v>46204</v>
      </c>
      <c r="F1023" s="8">
        <v>46205</v>
      </c>
      <c r="G1023" s="9">
        <f t="shared" si="198"/>
        <v>2</v>
      </c>
      <c r="H1023" s="10"/>
      <c r="I1023" s="10"/>
      <c r="J1023" s="10"/>
      <c r="K1023" s="11">
        <f t="shared" si="199"/>
        <v>0</v>
      </c>
      <c r="L1023" s="11">
        <f t="shared" si="200"/>
        <v>0</v>
      </c>
      <c r="M1023" s="12" t="str">
        <f t="shared" si="201"/>
        <v/>
      </c>
      <c r="N1023" s="11">
        <f t="shared" si="202"/>
        <v>0</v>
      </c>
      <c r="O1023" s="12" t="str">
        <f t="shared" si="203"/>
        <v/>
      </c>
      <c r="P1023" s="12" t="str">
        <f t="shared" si="204"/>
        <v/>
      </c>
      <c r="Q1023" s="13" t="str">
        <f t="shared" si="196"/>
        <v/>
      </c>
      <c r="R1023" s="13" t="str">
        <f t="shared" si="197"/>
        <v/>
      </c>
    </row>
    <row r="1024" spans="1:18" ht="15.75" customHeight="1" x14ac:dyDescent="0.3">
      <c r="A1024" s="7" t="s">
        <v>281</v>
      </c>
      <c r="B1024" s="7" t="s">
        <v>280</v>
      </c>
      <c r="C1024" s="24" t="s">
        <v>47</v>
      </c>
      <c r="D1024" s="24" t="s">
        <v>433</v>
      </c>
      <c r="E1024" s="8">
        <v>46204</v>
      </c>
      <c r="F1024" s="8">
        <v>46205</v>
      </c>
      <c r="G1024" s="9">
        <f t="shared" si="198"/>
        <v>2</v>
      </c>
      <c r="H1024" s="10"/>
      <c r="I1024" s="10"/>
      <c r="J1024" s="10"/>
      <c r="K1024" s="11">
        <f t="shared" si="199"/>
        <v>0</v>
      </c>
      <c r="L1024" s="11">
        <f t="shared" si="200"/>
        <v>0</v>
      </c>
      <c r="M1024" s="12" t="str">
        <f t="shared" si="201"/>
        <v/>
      </c>
      <c r="N1024" s="11">
        <f t="shared" si="202"/>
        <v>0</v>
      </c>
      <c r="O1024" s="12" t="str">
        <f t="shared" si="203"/>
        <v/>
      </c>
      <c r="P1024" s="12" t="str">
        <f t="shared" si="204"/>
        <v/>
      </c>
      <c r="Q1024" s="13" t="str">
        <f t="shared" si="196"/>
        <v/>
      </c>
      <c r="R1024" s="13" t="str">
        <f t="shared" si="197"/>
        <v/>
      </c>
    </row>
    <row r="1025" spans="1:18" ht="15.75" customHeight="1" x14ac:dyDescent="0.3">
      <c r="A1025" s="7" t="s">
        <v>281</v>
      </c>
      <c r="B1025" s="7" t="s">
        <v>216</v>
      </c>
      <c r="C1025" s="24" t="s">
        <v>47</v>
      </c>
      <c r="D1025" s="24" t="s">
        <v>53</v>
      </c>
      <c r="E1025" s="8">
        <v>46204</v>
      </c>
      <c r="F1025" s="8">
        <v>46205</v>
      </c>
      <c r="G1025" s="9">
        <f t="shared" si="198"/>
        <v>2</v>
      </c>
      <c r="H1025" s="10"/>
      <c r="I1025" s="10"/>
      <c r="J1025" s="10"/>
      <c r="K1025" s="11">
        <f t="shared" si="199"/>
        <v>0</v>
      </c>
      <c r="L1025" s="11">
        <f t="shared" si="200"/>
        <v>0</v>
      </c>
      <c r="M1025" s="12" t="str">
        <f t="shared" si="201"/>
        <v/>
      </c>
      <c r="N1025" s="11">
        <f t="shared" si="202"/>
        <v>0</v>
      </c>
      <c r="O1025" s="12" t="str">
        <f t="shared" si="203"/>
        <v/>
      </c>
      <c r="P1025" s="12" t="str">
        <f t="shared" si="204"/>
        <v/>
      </c>
      <c r="Q1025" s="13" t="str">
        <f t="shared" si="196"/>
        <v/>
      </c>
      <c r="R1025" s="13" t="str">
        <f t="shared" si="197"/>
        <v/>
      </c>
    </row>
    <row r="1026" spans="1:18" ht="15.75" customHeight="1" x14ac:dyDescent="0.3">
      <c r="A1026" s="7" t="s">
        <v>281</v>
      </c>
      <c r="B1026" s="7" t="s">
        <v>100</v>
      </c>
      <c r="C1026" s="24" t="s">
        <v>47</v>
      </c>
      <c r="D1026" s="24" t="s">
        <v>56</v>
      </c>
      <c r="E1026" s="8">
        <v>46204</v>
      </c>
      <c r="F1026" s="8">
        <v>46205</v>
      </c>
      <c r="G1026" s="9">
        <f t="shared" si="198"/>
        <v>2</v>
      </c>
      <c r="H1026" s="10"/>
      <c r="I1026" s="10"/>
      <c r="J1026" s="10"/>
      <c r="K1026" s="11">
        <f t="shared" si="199"/>
        <v>0</v>
      </c>
      <c r="L1026" s="11">
        <f t="shared" si="200"/>
        <v>0</v>
      </c>
      <c r="M1026" s="12" t="str">
        <f t="shared" si="201"/>
        <v/>
      </c>
      <c r="N1026" s="11">
        <f t="shared" si="202"/>
        <v>0</v>
      </c>
      <c r="O1026" s="12" t="str">
        <f t="shared" si="203"/>
        <v/>
      </c>
      <c r="P1026" s="12" t="str">
        <f t="shared" si="204"/>
        <v/>
      </c>
      <c r="Q1026" s="13" t="str">
        <f t="shared" si="196"/>
        <v/>
      </c>
      <c r="R1026" s="13" t="str">
        <f t="shared" si="197"/>
        <v/>
      </c>
    </row>
    <row r="1027" spans="1:18" ht="15.75" customHeight="1" x14ac:dyDescent="0.3">
      <c r="A1027" s="7" t="s">
        <v>281</v>
      </c>
      <c r="B1027" s="7" t="s">
        <v>99</v>
      </c>
      <c r="C1027" s="24" t="s">
        <v>47</v>
      </c>
      <c r="D1027" s="24" t="s">
        <v>56</v>
      </c>
      <c r="E1027" s="8">
        <v>46204</v>
      </c>
      <c r="F1027" s="8">
        <v>46205</v>
      </c>
      <c r="G1027" s="9">
        <f t="shared" si="198"/>
        <v>2</v>
      </c>
      <c r="H1027" s="10"/>
      <c r="I1027" s="10"/>
      <c r="J1027" s="10"/>
      <c r="K1027" s="11">
        <f t="shared" si="199"/>
        <v>0</v>
      </c>
      <c r="L1027" s="11">
        <f t="shared" si="200"/>
        <v>0</v>
      </c>
      <c r="M1027" s="12" t="str">
        <f t="shared" si="201"/>
        <v/>
      </c>
      <c r="N1027" s="11">
        <f t="shared" si="202"/>
        <v>0</v>
      </c>
      <c r="O1027" s="12" t="str">
        <f t="shared" si="203"/>
        <v/>
      </c>
      <c r="P1027" s="12" t="str">
        <f t="shared" si="204"/>
        <v/>
      </c>
      <c r="Q1027" s="13" t="str">
        <f t="shared" si="196"/>
        <v/>
      </c>
      <c r="R1027" s="13" t="str">
        <f t="shared" si="197"/>
        <v/>
      </c>
    </row>
    <row r="1028" spans="1:18" ht="15.75" customHeight="1" x14ac:dyDescent="0.3">
      <c r="A1028" s="7" t="s">
        <v>281</v>
      </c>
      <c r="B1028" s="7" t="s">
        <v>287</v>
      </c>
      <c r="C1028" s="24" t="s">
        <v>47</v>
      </c>
      <c r="D1028" s="24" t="s">
        <v>448</v>
      </c>
      <c r="E1028" s="8">
        <v>46204</v>
      </c>
      <c r="F1028" s="8">
        <v>46205</v>
      </c>
      <c r="G1028" s="9">
        <f t="shared" si="198"/>
        <v>2</v>
      </c>
      <c r="H1028" s="10"/>
      <c r="I1028" s="10"/>
      <c r="J1028" s="10"/>
      <c r="K1028" s="11">
        <f t="shared" si="199"/>
        <v>0</v>
      </c>
      <c r="L1028" s="11">
        <f t="shared" si="200"/>
        <v>0</v>
      </c>
      <c r="M1028" s="12" t="str">
        <f t="shared" si="201"/>
        <v/>
      </c>
      <c r="N1028" s="11">
        <f t="shared" si="202"/>
        <v>0</v>
      </c>
      <c r="O1028" s="12" t="str">
        <f t="shared" si="203"/>
        <v/>
      </c>
      <c r="P1028" s="12" t="str">
        <f t="shared" si="204"/>
        <v/>
      </c>
      <c r="Q1028" s="13" t="str">
        <f t="shared" si="196"/>
        <v/>
      </c>
      <c r="R1028" s="13" t="str">
        <f t="shared" si="197"/>
        <v/>
      </c>
    </row>
    <row r="1029" spans="1:18" ht="15.75" customHeight="1" x14ac:dyDescent="0.3">
      <c r="A1029" s="7" t="s">
        <v>281</v>
      </c>
      <c r="B1029" s="7" t="s">
        <v>176</v>
      </c>
      <c r="C1029" s="24" t="s">
        <v>58</v>
      </c>
      <c r="D1029" s="24" t="s">
        <v>61</v>
      </c>
      <c r="E1029" s="8">
        <v>46204</v>
      </c>
      <c r="F1029" s="8">
        <v>46205</v>
      </c>
      <c r="G1029" s="9">
        <f t="shared" si="198"/>
        <v>2</v>
      </c>
      <c r="H1029" s="10"/>
      <c r="I1029" s="10"/>
      <c r="J1029" s="10"/>
      <c r="K1029" s="11">
        <f t="shared" si="199"/>
        <v>0</v>
      </c>
      <c r="L1029" s="11">
        <f t="shared" si="200"/>
        <v>0</v>
      </c>
      <c r="M1029" s="12" t="str">
        <f t="shared" si="201"/>
        <v/>
      </c>
      <c r="N1029" s="11">
        <f t="shared" si="202"/>
        <v>0</v>
      </c>
      <c r="O1029" s="12" t="str">
        <f t="shared" si="203"/>
        <v/>
      </c>
      <c r="P1029" s="12" t="str">
        <f t="shared" si="204"/>
        <v/>
      </c>
      <c r="Q1029" s="13" t="str">
        <f t="shared" si="196"/>
        <v/>
      </c>
      <c r="R1029" s="13" t="str">
        <f t="shared" si="197"/>
        <v/>
      </c>
    </row>
    <row r="1030" spans="1:18" ht="15.75" customHeight="1" x14ac:dyDescent="0.3">
      <c r="A1030" s="7" t="s">
        <v>281</v>
      </c>
      <c r="B1030" s="7" t="s">
        <v>177</v>
      </c>
      <c r="C1030" s="24" t="s">
        <v>58</v>
      </c>
      <c r="D1030" s="24" t="s">
        <v>61</v>
      </c>
      <c r="E1030" s="8">
        <v>46204</v>
      </c>
      <c r="F1030" s="8">
        <v>46205</v>
      </c>
      <c r="G1030" s="9">
        <f t="shared" si="198"/>
        <v>2</v>
      </c>
      <c r="H1030" s="10"/>
      <c r="I1030" s="10"/>
      <c r="J1030" s="10"/>
      <c r="K1030" s="11">
        <f t="shared" si="199"/>
        <v>0</v>
      </c>
      <c r="L1030" s="11">
        <f t="shared" si="200"/>
        <v>0</v>
      </c>
      <c r="M1030" s="12" t="str">
        <f t="shared" si="201"/>
        <v/>
      </c>
      <c r="N1030" s="11">
        <f t="shared" si="202"/>
        <v>0</v>
      </c>
      <c r="O1030" s="12" t="str">
        <f t="shared" si="203"/>
        <v/>
      </c>
      <c r="P1030" s="12" t="str">
        <f t="shared" si="204"/>
        <v/>
      </c>
      <c r="Q1030" s="13" t="str">
        <f t="shared" si="196"/>
        <v/>
      </c>
      <c r="R1030" s="13" t="str">
        <f t="shared" si="197"/>
        <v/>
      </c>
    </row>
    <row r="1031" spans="1:18" ht="15.75" customHeight="1" x14ac:dyDescent="0.3">
      <c r="A1031" s="7" t="s">
        <v>281</v>
      </c>
      <c r="B1031" s="7" t="s">
        <v>60</v>
      </c>
      <c r="C1031" s="24" t="s">
        <v>58</v>
      </c>
      <c r="D1031" s="24" t="s">
        <v>61</v>
      </c>
      <c r="E1031" s="8">
        <v>46204</v>
      </c>
      <c r="F1031" s="8">
        <v>46205</v>
      </c>
      <c r="G1031" s="9">
        <f t="shared" si="198"/>
        <v>2</v>
      </c>
      <c r="H1031" s="10"/>
      <c r="I1031" s="10"/>
      <c r="J1031" s="10"/>
      <c r="K1031" s="11">
        <f t="shared" si="199"/>
        <v>0</v>
      </c>
      <c r="L1031" s="11">
        <f t="shared" si="200"/>
        <v>0</v>
      </c>
      <c r="M1031" s="12" t="str">
        <f t="shared" si="201"/>
        <v/>
      </c>
      <c r="N1031" s="11">
        <f t="shared" si="202"/>
        <v>0</v>
      </c>
      <c r="O1031" s="12" t="str">
        <f t="shared" si="203"/>
        <v/>
      </c>
      <c r="P1031" s="12" t="str">
        <f t="shared" si="204"/>
        <v/>
      </c>
      <c r="Q1031" s="13" t="str">
        <f t="shared" si="196"/>
        <v/>
      </c>
      <c r="R1031" s="13" t="str">
        <f t="shared" si="197"/>
        <v/>
      </c>
    </row>
    <row r="1032" spans="1:18" ht="15.75" customHeight="1" x14ac:dyDescent="0.3">
      <c r="A1032" s="7" t="s">
        <v>281</v>
      </c>
      <c r="B1032" s="7" t="s">
        <v>235</v>
      </c>
      <c r="C1032" s="24" t="s">
        <v>58</v>
      </c>
      <c r="D1032" s="24" t="s">
        <v>107</v>
      </c>
      <c r="E1032" s="8">
        <v>46204</v>
      </c>
      <c r="F1032" s="8">
        <v>46205</v>
      </c>
      <c r="G1032" s="9">
        <f t="shared" si="198"/>
        <v>2</v>
      </c>
      <c r="H1032" s="10"/>
      <c r="I1032" s="10"/>
      <c r="J1032" s="10"/>
      <c r="K1032" s="11">
        <f t="shared" si="199"/>
        <v>0</v>
      </c>
      <c r="L1032" s="11">
        <f t="shared" si="200"/>
        <v>0</v>
      </c>
      <c r="M1032" s="12" t="str">
        <f t="shared" si="201"/>
        <v/>
      </c>
      <c r="N1032" s="11">
        <f t="shared" si="202"/>
        <v>0</v>
      </c>
      <c r="O1032" s="12" t="str">
        <f t="shared" si="203"/>
        <v/>
      </c>
      <c r="P1032" s="12" t="str">
        <f t="shared" si="204"/>
        <v/>
      </c>
      <c r="Q1032" s="13" t="str">
        <f t="shared" si="196"/>
        <v/>
      </c>
      <c r="R1032" s="13" t="str">
        <f t="shared" si="197"/>
        <v/>
      </c>
    </row>
    <row r="1033" spans="1:18" ht="15.75" customHeight="1" x14ac:dyDescent="0.3">
      <c r="A1033" s="7" t="s">
        <v>281</v>
      </c>
      <c r="B1033" s="7" t="s">
        <v>194</v>
      </c>
      <c r="C1033" s="24" t="s">
        <v>58</v>
      </c>
      <c r="D1033" s="24" t="s">
        <v>103</v>
      </c>
      <c r="E1033" s="8">
        <v>46204</v>
      </c>
      <c r="F1033" s="8">
        <v>46205</v>
      </c>
      <c r="G1033" s="9">
        <f t="shared" si="198"/>
        <v>2</v>
      </c>
      <c r="H1033" s="10"/>
      <c r="I1033" s="10"/>
      <c r="J1033" s="10"/>
      <c r="K1033" s="11">
        <f t="shared" si="199"/>
        <v>0</v>
      </c>
      <c r="L1033" s="11">
        <f t="shared" si="200"/>
        <v>0</v>
      </c>
      <c r="M1033" s="12" t="str">
        <f t="shared" si="201"/>
        <v/>
      </c>
      <c r="N1033" s="11">
        <f t="shared" si="202"/>
        <v>0</v>
      </c>
      <c r="O1033" s="12" t="str">
        <f t="shared" si="203"/>
        <v/>
      </c>
      <c r="P1033" s="12" t="str">
        <f t="shared" si="204"/>
        <v/>
      </c>
      <c r="Q1033" s="13" t="str">
        <f t="shared" si="196"/>
        <v/>
      </c>
      <c r="R1033" s="13" t="str">
        <f t="shared" si="197"/>
        <v/>
      </c>
    </row>
    <row r="1034" spans="1:18" ht="15.75" customHeight="1" x14ac:dyDescent="0.3">
      <c r="A1034" s="7" t="s">
        <v>281</v>
      </c>
      <c r="B1034" s="7" t="s">
        <v>243</v>
      </c>
      <c r="C1034" s="24" t="s">
        <v>58</v>
      </c>
      <c r="D1034" s="24" t="s">
        <v>193</v>
      </c>
      <c r="E1034" s="8">
        <v>46204</v>
      </c>
      <c r="F1034" s="8">
        <v>46205</v>
      </c>
      <c r="G1034" s="9">
        <f t="shared" si="198"/>
        <v>2</v>
      </c>
      <c r="H1034" s="10"/>
      <c r="I1034" s="10"/>
      <c r="J1034" s="10"/>
      <c r="K1034" s="11">
        <f t="shared" si="199"/>
        <v>0</v>
      </c>
      <c r="L1034" s="11">
        <f t="shared" si="200"/>
        <v>0</v>
      </c>
      <c r="M1034" s="12" t="str">
        <f t="shared" si="201"/>
        <v/>
      </c>
      <c r="N1034" s="11">
        <f t="shared" si="202"/>
        <v>0</v>
      </c>
      <c r="O1034" s="12" t="str">
        <f t="shared" si="203"/>
        <v/>
      </c>
      <c r="P1034" s="12" t="str">
        <f t="shared" si="204"/>
        <v/>
      </c>
      <c r="Q1034" s="13" t="str">
        <f t="shared" si="196"/>
        <v/>
      </c>
      <c r="R1034" s="13" t="str">
        <f t="shared" si="197"/>
        <v/>
      </c>
    </row>
    <row r="1035" spans="1:18" ht="15.75" customHeight="1" x14ac:dyDescent="0.3">
      <c r="A1035" s="7" t="s">
        <v>281</v>
      </c>
      <c r="B1035" s="7" t="s">
        <v>104</v>
      </c>
      <c r="C1035" s="24" t="s">
        <v>58</v>
      </c>
      <c r="D1035" s="24" t="s">
        <v>61</v>
      </c>
      <c r="E1035" s="8">
        <v>46204</v>
      </c>
      <c r="F1035" s="8">
        <v>46205</v>
      </c>
      <c r="G1035" s="9">
        <f t="shared" si="198"/>
        <v>2</v>
      </c>
      <c r="H1035" s="10"/>
      <c r="I1035" s="10"/>
      <c r="J1035" s="10"/>
      <c r="K1035" s="11">
        <f t="shared" si="199"/>
        <v>0</v>
      </c>
      <c r="L1035" s="11">
        <f t="shared" si="200"/>
        <v>0</v>
      </c>
      <c r="M1035" s="12" t="str">
        <f t="shared" si="201"/>
        <v/>
      </c>
      <c r="N1035" s="11">
        <f t="shared" si="202"/>
        <v>0</v>
      </c>
      <c r="O1035" s="12" t="str">
        <f t="shared" si="203"/>
        <v/>
      </c>
      <c r="P1035" s="12" t="str">
        <f t="shared" si="204"/>
        <v/>
      </c>
      <c r="Q1035" s="13" t="str">
        <f t="shared" si="196"/>
        <v/>
      </c>
      <c r="R1035" s="13" t="str">
        <f t="shared" si="197"/>
        <v/>
      </c>
    </row>
    <row r="1036" spans="1:18" ht="15.75" customHeight="1" x14ac:dyDescent="0.3">
      <c r="A1036" s="7" t="s">
        <v>281</v>
      </c>
      <c r="B1036" s="7" t="s">
        <v>208</v>
      </c>
      <c r="C1036" s="24" t="s">
        <v>58</v>
      </c>
      <c r="D1036" s="24" t="s">
        <v>107</v>
      </c>
      <c r="E1036" s="8">
        <v>46204</v>
      </c>
      <c r="F1036" s="8">
        <v>46205</v>
      </c>
      <c r="G1036" s="9">
        <f t="shared" si="198"/>
        <v>2</v>
      </c>
      <c r="H1036" s="10"/>
      <c r="I1036" s="10"/>
      <c r="J1036" s="10"/>
      <c r="K1036" s="11">
        <f t="shared" si="199"/>
        <v>0</v>
      </c>
      <c r="L1036" s="11">
        <f t="shared" si="200"/>
        <v>0</v>
      </c>
      <c r="M1036" s="12" t="str">
        <f t="shared" si="201"/>
        <v/>
      </c>
      <c r="N1036" s="11">
        <f t="shared" si="202"/>
        <v>0</v>
      </c>
      <c r="O1036" s="12" t="str">
        <f t="shared" si="203"/>
        <v/>
      </c>
      <c r="P1036" s="12" t="str">
        <f t="shared" si="204"/>
        <v/>
      </c>
      <c r="Q1036" s="13" t="str">
        <f t="shared" si="196"/>
        <v/>
      </c>
      <c r="R1036" s="13" t="str">
        <f t="shared" si="197"/>
        <v/>
      </c>
    </row>
    <row r="1037" spans="1:18" ht="15.75" customHeight="1" x14ac:dyDescent="0.3">
      <c r="A1037" s="7" t="s">
        <v>281</v>
      </c>
      <c r="B1037" s="7" t="s">
        <v>108</v>
      </c>
      <c r="C1037" s="24" t="s">
        <v>58</v>
      </c>
      <c r="D1037" s="24" t="s">
        <v>66</v>
      </c>
      <c r="E1037" s="8">
        <v>46204</v>
      </c>
      <c r="F1037" s="8">
        <v>46205</v>
      </c>
      <c r="G1037" s="9">
        <f t="shared" si="198"/>
        <v>2</v>
      </c>
      <c r="H1037" s="10"/>
      <c r="I1037" s="10"/>
      <c r="J1037" s="10"/>
      <c r="K1037" s="11">
        <f t="shared" si="199"/>
        <v>0</v>
      </c>
      <c r="L1037" s="11">
        <f t="shared" si="200"/>
        <v>0</v>
      </c>
      <c r="M1037" s="12" t="str">
        <f t="shared" si="201"/>
        <v/>
      </c>
      <c r="N1037" s="11">
        <f t="shared" si="202"/>
        <v>0</v>
      </c>
      <c r="O1037" s="12" t="str">
        <f t="shared" si="203"/>
        <v/>
      </c>
      <c r="P1037" s="12" t="str">
        <f t="shared" si="204"/>
        <v/>
      </c>
      <c r="Q1037" s="13" t="str">
        <f t="shared" si="196"/>
        <v/>
      </c>
      <c r="R1037" s="13" t="str">
        <f t="shared" si="197"/>
        <v/>
      </c>
    </row>
    <row r="1038" spans="1:18" ht="15.75" customHeight="1" x14ac:dyDescent="0.3">
      <c r="A1038" s="7" t="s">
        <v>281</v>
      </c>
      <c r="B1038" s="7" t="s">
        <v>109</v>
      </c>
      <c r="C1038" s="24" t="s">
        <v>58</v>
      </c>
      <c r="D1038" s="24" t="s">
        <v>68</v>
      </c>
      <c r="E1038" s="8">
        <v>46204</v>
      </c>
      <c r="F1038" s="8">
        <v>46205</v>
      </c>
      <c r="G1038" s="9">
        <f t="shared" si="198"/>
        <v>2</v>
      </c>
      <c r="H1038" s="10"/>
      <c r="I1038" s="10"/>
      <c r="J1038" s="10"/>
      <c r="K1038" s="11">
        <f t="shared" si="199"/>
        <v>0</v>
      </c>
      <c r="L1038" s="11">
        <f t="shared" si="200"/>
        <v>0</v>
      </c>
      <c r="M1038" s="12" t="str">
        <f t="shared" si="201"/>
        <v/>
      </c>
      <c r="N1038" s="11">
        <f t="shared" si="202"/>
        <v>0</v>
      </c>
      <c r="O1038" s="12" t="str">
        <f t="shared" si="203"/>
        <v/>
      </c>
      <c r="P1038" s="12" t="str">
        <f t="shared" si="204"/>
        <v/>
      </c>
      <c r="Q1038" s="13" t="str">
        <f t="shared" si="196"/>
        <v/>
      </c>
      <c r="R1038" s="13" t="str">
        <f t="shared" si="197"/>
        <v/>
      </c>
    </row>
    <row r="1039" spans="1:18" ht="15.75" customHeight="1" x14ac:dyDescent="0.3">
      <c r="A1039" s="7" t="s">
        <v>281</v>
      </c>
      <c r="B1039" s="7" t="s">
        <v>71</v>
      </c>
      <c r="C1039" s="24" t="s">
        <v>58</v>
      </c>
      <c r="D1039" s="24" t="s">
        <v>66</v>
      </c>
      <c r="E1039" s="8">
        <v>46204</v>
      </c>
      <c r="F1039" s="8">
        <v>46205</v>
      </c>
      <c r="G1039" s="9">
        <f t="shared" si="198"/>
        <v>2</v>
      </c>
      <c r="H1039" s="10"/>
      <c r="I1039" s="10"/>
      <c r="J1039" s="10"/>
      <c r="K1039" s="11">
        <f t="shared" si="199"/>
        <v>0</v>
      </c>
      <c r="L1039" s="11">
        <f t="shared" si="200"/>
        <v>0</v>
      </c>
      <c r="M1039" s="12" t="str">
        <f t="shared" si="201"/>
        <v/>
      </c>
      <c r="N1039" s="11">
        <f t="shared" si="202"/>
        <v>0</v>
      </c>
      <c r="O1039" s="12" t="str">
        <f t="shared" si="203"/>
        <v/>
      </c>
      <c r="P1039" s="12" t="str">
        <f t="shared" si="204"/>
        <v/>
      </c>
      <c r="Q1039" s="13" t="str">
        <f t="shared" si="196"/>
        <v/>
      </c>
      <c r="R1039" s="13" t="str">
        <f t="shared" si="197"/>
        <v/>
      </c>
    </row>
    <row r="1040" spans="1:18" ht="15.75" customHeight="1" x14ac:dyDescent="0.3">
      <c r="A1040" s="7" t="s">
        <v>281</v>
      </c>
      <c r="B1040" s="7" t="s">
        <v>72</v>
      </c>
      <c r="C1040" s="24" t="s">
        <v>58</v>
      </c>
      <c r="D1040" s="24" t="s">
        <v>68</v>
      </c>
      <c r="E1040" s="8">
        <v>46204</v>
      </c>
      <c r="F1040" s="8">
        <v>46205</v>
      </c>
      <c r="G1040" s="9">
        <f t="shared" si="198"/>
        <v>2</v>
      </c>
      <c r="H1040" s="10"/>
      <c r="I1040" s="10"/>
      <c r="J1040" s="10"/>
      <c r="K1040" s="11">
        <f t="shared" si="199"/>
        <v>0</v>
      </c>
      <c r="L1040" s="11">
        <f t="shared" si="200"/>
        <v>0</v>
      </c>
      <c r="M1040" s="12" t="str">
        <f t="shared" si="201"/>
        <v/>
      </c>
      <c r="N1040" s="11">
        <f t="shared" si="202"/>
        <v>0</v>
      </c>
      <c r="O1040" s="12" t="str">
        <f t="shared" si="203"/>
        <v/>
      </c>
      <c r="P1040" s="12" t="str">
        <f t="shared" si="204"/>
        <v/>
      </c>
      <c r="Q1040" s="13" t="str">
        <f t="shared" si="196"/>
        <v/>
      </c>
      <c r="R1040" s="13" t="str">
        <f t="shared" si="197"/>
        <v/>
      </c>
    </row>
    <row r="1041" spans="1:18" ht="15.75" customHeight="1" x14ac:dyDescent="0.3">
      <c r="A1041" s="7" t="s">
        <v>281</v>
      </c>
      <c r="B1041" s="7" t="s">
        <v>198</v>
      </c>
      <c r="C1041" s="24" t="s">
        <v>58</v>
      </c>
      <c r="D1041" s="24" t="s">
        <v>66</v>
      </c>
      <c r="E1041" s="8">
        <v>46204</v>
      </c>
      <c r="F1041" s="8">
        <v>46205</v>
      </c>
      <c r="G1041" s="9">
        <f t="shared" si="198"/>
        <v>2</v>
      </c>
      <c r="H1041" s="10"/>
      <c r="I1041" s="10"/>
      <c r="J1041" s="10"/>
      <c r="K1041" s="11">
        <f t="shared" si="199"/>
        <v>0</v>
      </c>
      <c r="L1041" s="11">
        <f t="shared" si="200"/>
        <v>0</v>
      </c>
      <c r="M1041" s="12" t="str">
        <f t="shared" si="201"/>
        <v/>
      </c>
      <c r="N1041" s="11">
        <f t="shared" si="202"/>
        <v>0</v>
      </c>
      <c r="O1041" s="12" t="str">
        <f t="shared" si="203"/>
        <v/>
      </c>
      <c r="P1041" s="12" t="str">
        <f t="shared" si="204"/>
        <v/>
      </c>
      <c r="Q1041" s="13" t="str">
        <f t="shared" si="196"/>
        <v/>
      </c>
      <c r="R1041" s="13" t="str">
        <f t="shared" si="197"/>
        <v/>
      </c>
    </row>
    <row r="1042" spans="1:18" ht="15.75" customHeight="1" x14ac:dyDescent="0.3">
      <c r="A1042" s="7" t="s">
        <v>281</v>
      </c>
      <c r="B1042" s="7" t="s">
        <v>199</v>
      </c>
      <c r="C1042" s="24" t="s">
        <v>58</v>
      </c>
      <c r="D1042" s="24" t="s">
        <v>68</v>
      </c>
      <c r="E1042" s="8">
        <v>46204</v>
      </c>
      <c r="F1042" s="8">
        <v>46205</v>
      </c>
      <c r="G1042" s="9">
        <f t="shared" si="198"/>
        <v>2</v>
      </c>
      <c r="H1042" s="10"/>
      <c r="I1042" s="10"/>
      <c r="J1042" s="10"/>
      <c r="K1042" s="11">
        <f t="shared" si="199"/>
        <v>0</v>
      </c>
      <c r="L1042" s="11">
        <f t="shared" si="200"/>
        <v>0</v>
      </c>
      <c r="M1042" s="12" t="str">
        <f t="shared" si="201"/>
        <v/>
      </c>
      <c r="N1042" s="11">
        <f t="shared" si="202"/>
        <v>0</v>
      </c>
      <c r="O1042" s="12" t="str">
        <f t="shared" si="203"/>
        <v/>
      </c>
      <c r="P1042" s="12" t="str">
        <f t="shared" si="204"/>
        <v/>
      </c>
      <c r="Q1042" s="13" t="str">
        <f t="shared" si="196"/>
        <v/>
      </c>
      <c r="R1042" s="13" t="str">
        <f t="shared" si="197"/>
        <v/>
      </c>
    </row>
    <row r="1043" spans="1:18" ht="15.75" customHeight="1" x14ac:dyDescent="0.3">
      <c r="A1043" s="7" t="s">
        <v>281</v>
      </c>
      <c r="B1043" s="7" t="s">
        <v>114</v>
      </c>
      <c r="C1043" s="24" t="s">
        <v>58</v>
      </c>
      <c r="D1043" s="24" t="s">
        <v>74</v>
      </c>
      <c r="E1043" s="8">
        <v>46204</v>
      </c>
      <c r="F1043" s="8">
        <v>46205</v>
      </c>
      <c r="G1043" s="9">
        <f t="shared" si="198"/>
        <v>2</v>
      </c>
      <c r="H1043" s="10"/>
      <c r="I1043" s="10"/>
      <c r="J1043" s="10"/>
      <c r="K1043" s="11">
        <f t="shared" si="199"/>
        <v>0</v>
      </c>
      <c r="L1043" s="11">
        <f t="shared" si="200"/>
        <v>0</v>
      </c>
      <c r="M1043" s="12" t="str">
        <f t="shared" si="201"/>
        <v/>
      </c>
      <c r="N1043" s="11">
        <f t="shared" si="202"/>
        <v>0</v>
      </c>
      <c r="O1043" s="12" t="str">
        <f t="shared" si="203"/>
        <v/>
      </c>
      <c r="P1043" s="12" t="str">
        <f t="shared" si="204"/>
        <v/>
      </c>
      <c r="Q1043" s="13" t="str">
        <f t="shared" si="196"/>
        <v/>
      </c>
      <c r="R1043" s="13" t="str">
        <f t="shared" si="197"/>
        <v/>
      </c>
    </row>
    <row r="1044" spans="1:18" ht="15.75" customHeight="1" x14ac:dyDescent="0.3">
      <c r="A1044" s="7" t="s">
        <v>281</v>
      </c>
      <c r="B1044" s="7" t="s">
        <v>115</v>
      </c>
      <c r="C1044" s="24" t="s">
        <v>58</v>
      </c>
      <c r="D1044" s="24" t="s">
        <v>74</v>
      </c>
      <c r="E1044" s="8">
        <v>46204</v>
      </c>
      <c r="F1044" s="8">
        <v>46205</v>
      </c>
      <c r="G1044" s="9">
        <f t="shared" si="198"/>
        <v>2</v>
      </c>
      <c r="H1044" s="10"/>
      <c r="I1044" s="10"/>
      <c r="J1044" s="10"/>
      <c r="K1044" s="11">
        <f t="shared" si="199"/>
        <v>0</v>
      </c>
      <c r="L1044" s="11">
        <f t="shared" si="200"/>
        <v>0</v>
      </c>
      <c r="M1044" s="12" t="str">
        <f t="shared" si="201"/>
        <v/>
      </c>
      <c r="N1044" s="11">
        <f t="shared" si="202"/>
        <v>0</v>
      </c>
      <c r="O1044" s="12" t="str">
        <f t="shared" si="203"/>
        <v/>
      </c>
      <c r="P1044" s="12" t="str">
        <f t="shared" si="204"/>
        <v/>
      </c>
      <c r="Q1044" s="13" t="str">
        <f t="shared" si="196"/>
        <v/>
      </c>
      <c r="R1044" s="13" t="str">
        <f t="shared" si="197"/>
        <v/>
      </c>
    </row>
    <row r="1045" spans="1:18" ht="15.75" customHeight="1" x14ac:dyDescent="0.3">
      <c r="A1045" s="7" t="s">
        <v>281</v>
      </c>
      <c r="B1045" s="7" t="s">
        <v>133</v>
      </c>
      <c r="C1045" s="24" t="s">
        <v>58</v>
      </c>
      <c r="D1045" s="24" t="s">
        <v>74</v>
      </c>
      <c r="E1045" s="8">
        <v>46204</v>
      </c>
      <c r="F1045" s="8">
        <v>46205</v>
      </c>
      <c r="G1045" s="9">
        <f t="shared" si="198"/>
        <v>2</v>
      </c>
      <c r="H1045" s="10"/>
      <c r="I1045" s="10"/>
      <c r="J1045" s="10"/>
      <c r="K1045" s="11">
        <f t="shared" si="199"/>
        <v>0</v>
      </c>
      <c r="L1045" s="11">
        <f t="shared" si="200"/>
        <v>0</v>
      </c>
      <c r="M1045" s="12" t="str">
        <f t="shared" si="201"/>
        <v/>
      </c>
      <c r="N1045" s="11">
        <f t="shared" si="202"/>
        <v>0</v>
      </c>
      <c r="O1045" s="12" t="str">
        <f t="shared" si="203"/>
        <v/>
      </c>
      <c r="P1045" s="12" t="str">
        <f t="shared" si="204"/>
        <v/>
      </c>
      <c r="Q1045" s="13" t="str">
        <f t="shared" si="196"/>
        <v/>
      </c>
      <c r="R1045" s="13" t="str">
        <f t="shared" si="197"/>
        <v/>
      </c>
    </row>
    <row r="1046" spans="1:18" ht="15.75" customHeight="1" x14ac:dyDescent="0.3">
      <c r="A1046" s="7" t="s">
        <v>281</v>
      </c>
      <c r="B1046" s="7" t="s">
        <v>210</v>
      </c>
      <c r="C1046" s="24" t="s">
        <v>58</v>
      </c>
      <c r="D1046" s="24" t="s">
        <v>59</v>
      </c>
      <c r="E1046" s="8">
        <v>46204</v>
      </c>
      <c r="F1046" s="8">
        <v>46205</v>
      </c>
      <c r="G1046" s="9">
        <f t="shared" si="198"/>
        <v>2</v>
      </c>
      <c r="H1046" s="10"/>
      <c r="I1046" s="10"/>
      <c r="J1046" s="10"/>
      <c r="K1046" s="11">
        <f t="shared" si="199"/>
        <v>0</v>
      </c>
      <c r="L1046" s="11">
        <f t="shared" si="200"/>
        <v>0</v>
      </c>
      <c r="M1046" s="12" t="str">
        <f t="shared" si="201"/>
        <v/>
      </c>
      <c r="N1046" s="11">
        <f t="shared" si="202"/>
        <v>0</v>
      </c>
      <c r="O1046" s="12" t="str">
        <f t="shared" si="203"/>
        <v/>
      </c>
      <c r="P1046" s="12" t="str">
        <f t="shared" si="204"/>
        <v/>
      </c>
      <c r="Q1046" s="13" t="str">
        <f t="shared" si="196"/>
        <v/>
      </c>
      <c r="R1046" s="13" t="str">
        <f t="shared" si="197"/>
        <v/>
      </c>
    </row>
    <row r="1047" spans="1:18" ht="15.75" customHeight="1" x14ac:dyDescent="0.3">
      <c r="A1047" s="7" t="s">
        <v>281</v>
      </c>
      <c r="B1047" s="7" t="s">
        <v>270</v>
      </c>
      <c r="C1047" s="24" t="s">
        <v>47</v>
      </c>
      <c r="D1047" s="24" t="s">
        <v>48</v>
      </c>
      <c r="E1047" s="8">
        <v>46204</v>
      </c>
      <c r="F1047" s="8">
        <v>46205</v>
      </c>
      <c r="G1047" s="9">
        <f t="shared" si="198"/>
        <v>2</v>
      </c>
      <c r="H1047" s="10"/>
      <c r="I1047" s="10"/>
      <c r="J1047" s="10"/>
      <c r="K1047" s="11">
        <f t="shared" si="199"/>
        <v>0</v>
      </c>
      <c r="L1047" s="11">
        <f t="shared" si="200"/>
        <v>0</v>
      </c>
      <c r="M1047" s="12" t="str">
        <f t="shared" si="201"/>
        <v/>
      </c>
      <c r="N1047" s="11">
        <f t="shared" si="202"/>
        <v>0</v>
      </c>
      <c r="O1047" s="12" t="str">
        <f t="shared" si="203"/>
        <v/>
      </c>
      <c r="P1047" s="12" t="str">
        <f t="shared" si="204"/>
        <v/>
      </c>
      <c r="Q1047" s="13" t="str">
        <f t="shared" si="196"/>
        <v/>
      </c>
      <c r="R1047" s="13" t="str">
        <f t="shared" si="197"/>
        <v/>
      </c>
    </row>
    <row r="1048" spans="1:18" ht="15.75" customHeight="1" x14ac:dyDescent="0.3">
      <c r="A1048" s="7" t="s">
        <v>281</v>
      </c>
      <c r="B1048" s="7" t="s">
        <v>271</v>
      </c>
      <c r="C1048" s="24" t="s">
        <v>47</v>
      </c>
      <c r="D1048" s="24" t="s">
        <v>48</v>
      </c>
      <c r="E1048" s="8">
        <v>46204</v>
      </c>
      <c r="F1048" s="8">
        <v>46205</v>
      </c>
      <c r="G1048" s="9">
        <f t="shared" si="198"/>
        <v>2</v>
      </c>
      <c r="H1048" s="10"/>
      <c r="I1048" s="10"/>
      <c r="J1048" s="10"/>
      <c r="K1048" s="11">
        <f t="shared" si="199"/>
        <v>0</v>
      </c>
      <c r="L1048" s="11">
        <f t="shared" si="200"/>
        <v>0</v>
      </c>
      <c r="M1048" s="12" t="str">
        <f t="shared" si="201"/>
        <v/>
      </c>
      <c r="N1048" s="11">
        <f t="shared" si="202"/>
        <v>0</v>
      </c>
      <c r="O1048" s="12" t="str">
        <f t="shared" si="203"/>
        <v/>
      </c>
      <c r="P1048" s="12" t="str">
        <f t="shared" si="204"/>
        <v/>
      </c>
      <c r="Q1048" s="13" t="str">
        <f t="shared" si="196"/>
        <v/>
      </c>
      <c r="R1048" s="13" t="str">
        <f t="shared" si="197"/>
        <v/>
      </c>
    </row>
    <row r="1049" spans="1:18" ht="15.75" customHeight="1" x14ac:dyDescent="0.3">
      <c r="A1049" s="7" t="s">
        <v>288</v>
      </c>
      <c r="B1049" s="7" t="s">
        <v>170</v>
      </c>
      <c r="C1049" s="24" t="s">
        <v>34</v>
      </c>
      <c r="D1049" s="24" t="s">
        <v>35</v>
      </c>
      <c r="E1049" s="8">
        <v>46206</v>
      </c>
      <c r="F1049" s="8">
        <v>46209</v>
      </c>
      <c r="G1049" s="9">
        <f t="shared" si="198"/>
        <v>4</v>
      </c>
      <c r="H1049" s="10"/>
      <c r="I1049" s="10"/>
      <c r="J1049" s="10"/>
      <c r="K1049" s="11">
        <f t="shared" si="199"/>
        <v>0</v>
      </c>
      <c r="L1049" s="11">
        <f t="shared" si="200"/>
        <v>0</v>
      </c>
      <c r="M1049" s="12" t="str">
        <f t="shared" si="201"/>
        <v/>
      </c>
      <c r="N1049" s="11">
        <f t="shared" si="202"/>
        <v>0</v>
      </c>
      <c r="O1049" s="12" t="str">
        <f t="shared" si="203"/>
        <v/>
      </c>
      <c r="P1049" s="12" t="str">
        <f t="shared" si="204"/>
        <v/>
      </c>
      <c r="Q1049" s="13" t="str">
        <f t="shared" si="196"/>
        <v/>
      </c>
      <c r="R1049" s="13" t="str">
        <f t="shared" si="197"/>
        <v/>
      </c>
    </row>
    <row r="1050" spans="1:18" ht="15.75" customHeight="1" x14ac:dyDescent="0.3">
      <c r="A1050" s="7" t="s">
        <v>288</v>
      </c>
      <c r="B1050" s="7" t="s">
        <v>205</v>
      </c>
      <c r="C1050" s="24" t="s">
        <v>34</v>
      </c>
      <c r="D1050" s="24" t="s">
        <v>35</v>
      </c>
      <c r="E1050" s="8">
        <v>46206</v>
      </c>
      <c r="F1050" s="8">
        <v>46209</v>
      </c>
      <c r="G1050" s="9">
        <f t="shared" si="198"/>
        <v>4</v>
      </c>
      <c r="H1050" s="10"/>
      <c r="I1050" s="10"/>
      <c r="J1050" s="10"/>
      <c r="K1050" s="11">
        <f t="shared" si="199"/>
        <v>0</v>
      </c>
      <c r="L1050" s="11">
        <f t="shared" si="200"/>
        <v>0</v>
      </c>
      <c r="M1050" s="12" t="str">
        <f t="shared" si="201"/>
        <v/>
      </c>
      <c r="N1050" s="11">
        <f t="shared" si="202"/>
        <v>0</v>
      </c>
      <c r="O1050" s="12" t="str">
        <f t="shared" si="203"/>
        <v/>
      </c>
      <c r="P1050" s="12" t="str">
        <f t="shared" si="204"/>
        <v/>
      </c>
      <c r="Q1050" s="13" t="str">
        <f t="shared" si="196"/>
        <v/>
      </c>
      <c r="R1050" s="13" t="str">
        <f t="shared" si="197"/>
        <v/>
      </c>
    </row>
    <row r="1051" spans="1:18" ht="15.75" customHeight="1" x14ac:dyDescent="0.3">
      <c r="A1051" s="7" t="s">
        <v>288</v>
      </c>
      <c r="B1051" s="7" t="s">
        <v>171</v>
      </c>
      <c r="C1051" s="24" t="s">
        <v>34</v>
      </c>
      <c r="D1051" s="24" t="s">
        <v>91</v>
      </c>
      <c r="E1051" s="8">
        <v>46206</v>
      </c>
      <c r="F1051" s="8">
        <v>46209</v>
      </c>
      <c r="G1051" s="9">
        <f t="shared" si="198"/>
        <v>4</v>
      </c>
      <c r="H1051" s="10"/>
      <c r="I1051" s="10"/>
      <c r="J1051" s="10"/>
      <c r="K1051" s="11">
        <f t="shared" si="199"/>
        <v>0</v>
      </c>
      <c r="L1051" s="11">
        <f t="shared" si="200"/>
        <v>0</v>
      </c>
      <c r="M1051" s="12" t="str">
        <f t="shared" si="201"/>
        <v/>
      </c>
      <c r="N1051" s="11">
        <f t="shared" si="202"/>
        <v>0</v>
      </c>
      <c r="O1051" s="12" t="str">
        <f t="shared" si="203"/>
        <v/>
      </c>
      <c r="P1051" s="12" t="str">
        <f t="shared" si="204"/>
        <v/>
      </c>
      <c r="Q1051" s="13" t="str">
        <f t="shared" si="196"/>
        <v/>
      </c>
      <c r="R1051" s="13" t="str">
        <f t="shared" si="197"/>
        <v/>
      </c>
    </row>
    <row r="1052" spans="1:18" ht="15.75" customHeight="1" x14ac:dyDescent="0.3">
      <c r="A1052" s="7" t="s">
        <v>288</v>
      </c>
      <c r="B1052" s="7" t="s">
        <v>289</v>
      </c>
      <c r="C1052" s="24" t="s">
        <v>34</v>
      </c>
      <c r="D1052" s="24" t="s">
        <v>91</v>
      </c>
      <c r="E1052" s="8">
        <v>46206</v>
      </c>
      <c r="F1052" s="8">
        <v>46209</v>
      </c>
      <c r="G1052" s="9">
        <f t="shared" si="198"/>
        <v>4</v>
      </c>
      <c r="H1052" s="10"/>
      <c r="I1052" s="10"/>
      <c r="J1052" s="10"/>
      <c r="K1052" s="11">
        <f t="shared" si="199"/>
        <v>0</v>
      </c>
      <c r="L1052" s="11">
        <f t="shared" si="200"/>
        <v>0</v>
      </c>
      <c r="M1052" s="12" t="str">
        <f t="shared" si="201"/>
        <v/>
      </c>
      <c r="N1052" s="11">
        <f t="shared" si="202"/>
        <v>0</v>
      </c>
      <c r="O1052" s="12" t="str">
        <f t="shared" si="203"/>
        <v/>
      </c>
      <c r="P1052" s="12" t="str">
        <f t="shared" si="204"/>
        <v/>
      </c>
      <c r="Q1052" s="13" t="str">
        <f t="shared" si="196"/>
        <v/>
      </c>
      <c r="R1052" s="13" t="str">
        <f t="shared" si="197"/>
        <v/>
      </c>
    </row>
    <row r="1053" spans="1:18" ht="15.75" customHeight="1" x14ac:dyDescent="0.3">
      <c r="A1053" s="7" t="s">
        <v>288</v>
      </c>
      <c r="B1053" s="7" t="s">
        <v>218</v>
      </c>
      <c r="C1053" s="24" t="s">
        <v>34</v>
      </c>
      <c r="D1053" s="24" t="s">
        <v>91</v>
      </c>
      <c r="E1053" s="8">
        <v>46206</v>
      </c>
      <c r="F1053" s="8">
        <v>46209</v>
      </c>
      <c r="G1053" s="9">
        <f t="shared" si="198"/>
        <v>4</v>
      </c>
      <c r="H1053" s="10"/>
      <c r="I1053" s="10"/>
      <c r="J1053" s="10"/>
      <c r="K1053" s="11">
        <f t="shared" si="199"/>
        <v>0</v>
      </c>
      <c r="L1053" s="11">
        <f t="shared" si="200"/>
        <v>0</v>
      </c>
      <c r="M1053" s="12" t="str">
        <f t="shared" si="201"/>
        <v/>
      </c>
      <c r="N1053" s="11">
        <f t="shared" si="202"/>
        <v>0</v>
      </c>
      <c r="O1053" s="12" t="str">
        <f t="shared" si="203"/>
        <v/>
      </c>
      <c r="P1053" s="12" t="str">
        <f t="shared" si="204"/>
        <v/>
      </c>
      <c r="Q1053" s="13" t="str">
        <f t="shared" si="196"/>
        <v/>
      </c>
      <c r="R1053" s="13" t="str">
        <f t="shared" si="197"/>
        <v/>
      </c>
    </row>
    <row r="1054" spans="1:18" ht="15.75" customHeight="1" x14ac:dyDescent="0.3">
      <c r="A1054" s="7" t="s">
        <v>288</v>
      </c>
      <c r="B1054" s="7" t="s">
        <v>290</v>
      </c>
      <c r="C1054" s="24" t="s">
        <v>34</v>
      </c>
      <c r="D1054" s="24" t="s">
        <v>39</v>
      </c>
      <c r="E1054" s="8">
        <v>46206</v>
      </c>
      <c r="F1054" s="8">
        <v>46209</v>
      </c>
      <c r="G1054" s="9">
        <f t="shared" si="198"/>
        <v>4</v>
      </c>
      <c r="H1054" s="10"/>
      <c r="I1054" s="10"/>
      <c r="J1054" s="10"/>
      <c r="K1054" s="11">
        <f t="shared" si="199"/>
        <v>0</v>
      </c>
      <c r="L1054" s="11">
        <f t="shared" si="200"/>
        <v>0</v>
      </c>
      <c r="M1054" s="12" t="str">
        <f t="shared" si="201"/>
        <v/>
      </c>
      <c r="N1054" s="11">
        <f t="shared" si="202"/>
        <v>0</v>
      </c>
      <c r="O1054" s="12" t="str">
        <f t="shared" si="203"/>
        <v/>
      </c>
      <c r="P1054" s="12" t="str">
        <f t="shared" si="204"/>
        <v/>
      </c>
      <c r="Q1054" s="13" t="str">
        <f t="shared" si="196"/>
        <v/>
      </c>
      <c r="R1054" s="13" t="str">
        <f t="shared" si="197"/>
        <v/>
      </c>
    </row>
    <row r="1055" spans="1:18" ht="15.75" customHeight="1" x14ac:dyDescent="0.3">
      <c r="A1055" s="7" t="s">
        <v>288</v>
      </c>
      <c r="B1055" s="7" t="s">
        <v>291</v>
      </c>
      <c r="C1055" s="24" t="s">
        <v>34</v>
      </c>
      <c r="D1055" s="24" t="s">
        <v>39</v>
      </c>
      <c r="E1055" s="8">
        <v>46206</v>
      </c>
      <c r="F1055" s="8">
        <v>46209</v>
      </c>
      <c r="G1055" s="9">
        <f t="shared" si="198"/>
        <v>4</v>
      </c>
      <c r="H1055" s="10"/>
      <c r="I1055" s="10"/>
      <c r="J1055" s="10"/>
      <c r="K1055" s="11">
        <f t="shared" si="199"/>
        <v>0</v>
      </c>
      <c r="L1055" s="11">
        <f t="shared" si="200"/>
        <v>0</v>
      </c>
      <c r="M1055" s="12" t="str">
        <f t="shared" si="201"/>
        <v/>
      </c>
      <c r="N1055" s="11">
        <f t="shared" si="202"/>
        <v>0</v>
      </c>
      <c r="O1055" s="12" t="str">
        <f t="shared" si="203"/>
        <v/>
      </c>
      <c r="P1055" s="12" t="str">
        <f t="shared" si="204"/>
        <v/>
      </c>
      <c r="Q1055" s="13" t="str">
        <f t="shared" si="196"/>
        <v/>
      </c>
      <c r="R1055" s="13" t="str">
        <f t="shared" si="197"/>
        <v/>
      </c>
    </row>
    <row r="1056" spans="1:18" ht="15.75" customHeight="1" x14ac:dyDescent="0.3">
      <c r="A1056" s="7" t="s">
        <v>288</v>
      </c>
      <c r="B1056" s="7" t="s">
        <v>292</v>
      </c>
      <c r="C1056" s="24" t="s">
        <v>34</v>
      </c>
      <c r="D1056" s="24" t="s">
        <v>447</v>
      </c>
      <c r="E1056" s="8">
        <v>46206</v>
      </c>
      <c r="F1056" s="8">
        <v>46209</v>
      </c>
      <c r="G1056" s="9">
        <f t="shared" si="198"/>
        <v>4</v>
      </c>
      <c r="H1056" s="10"/>
      <c r="I1056" s="10"/>
      <c r="J1056" s="10"/>
      <c r="K1056" s="11">
        <f t="shared" si="199"/>
        <v>0</v>
      </c>
      <c r="L1056" s="11">
        <f t="shared" si="200"/>
        <v>0</v>
      </c>
      <c r="M1056" s="12" t="str">
        <f t="shared" si="201"/>
        <v/>
      </c>
      <c r="N1056" s="11">
        <f t="shared" si="202"/>
        <v>0</v>
      </c>
      <c r="O1056" s="12" t="str">
        <f t="shared" si="203"/>
        <v/>
      </c>
      <c r="P1056" s="12" t="str">
        <f t="shared" si="204"/>
        <v/>
      </c>
      <c r="Q1056" s="13" t="str">
        <f t="shared" si="196"/>
        <v/>
      </c>
      <c r="R1056" s="13" t="str">
        <f t="shared" si="197"/>
        <v/>
      </c>
    </row>
    <row r="1057" spans="1:18" ht="15.75" customHeight="1" x14ac:dyDescent="0.3">
      <c r="A1057" s="7" t="s">
        <v>288</v>
      </c>
      <c r="B1057" s="7" t="s">
        <v>257</v>
      </c>
      <c r="C1057" s="24" t="s">
        <v>34</v>
      </c>
      <c r="D1057" s="24" t="s">
        <v>447</v>
      </c>
      <c r="E1057" s="8">
        <v>46206</v>
      </c>
      <c r="F1057" s="8">
        <v>46209</v>
      </c>
      <c r="G1057" s="9">
        <f t="shared" si="198"/>
        <v>4</v>
      </c>
      <c r="H1057" s="10"/>
      <c r="I1057" s="10"/>
      <c r="J1057" s="10"/>
      <c r="K1057" s="11">
        <f t="shared" si="199"/>
        <v>0</v>
      </c>
      <c r="L1057" s="11">
        <f t="shared" si="200"/>
        <v>0</v>
      </c>
      <c r="M1057" s="12" t="str">
        <f t="shared" si="201"/>
        <v/>
      </c>
      <c r="N1057" s="11">
        <f t="shared" si="202"/>
        <v>0</v>
      </c>
      <c r="O1057" s="12" t="str">
        <f t="shared" si="203"/>
        <v/>
      </c>
      <c r="P1057" s="12" t="str">
        <f t="shared" si="204"/>
        <v/>
      </c>
      <c r="Q1057" s="13" t="str">
        <f t="shared" si="196"/>
        <v/>
      </c>
      <c r="R1057" s="13" t="str">
        <f t="shared" si="197"/>
        <v/>
      </c>
    </row>
    <row r="1058" spans="1:18" ht="15.75" customHeight="1" x14ac:dyDescent="0.3">
      <c r="A1058" s="7" t="s">
        <v>288</v>
      </c>
      <c r="B1058" s="7" t="s">
        <v>247</v>
      </c>
      <c r="C1058" s="24" t="s">
        <v>47</v>
      </c>
      <c r="D1058" s="24" t="s">
        <v>48</v>
      </c>
      <c r="E1058" s="8">
        <v>46206</v>
      </c>
      <c r="F1058" s="8">
        <v>46209</v>
      </c>
      <c r="G1058" s="9">
        <f t="shared" si="198"/>
        <v>4</v>
      </c>
      <c r="H1058" s="10"/>
      <c r="I1058" s="10"/>
      <c r="J1058" s="10"/>
      <c r="K1058" s="11">
        <f t="shared" si="199"/>
        <v>0</v>
      </c>
      <c r="L1058" s="11">
        <f t="shared" si="200"/>
        <v>0</v>
      </c>
      <c r="M1058" s="12" t="str">
        <f t="shared" si="201"/>
        <v/>
      </c>
      <c r="N1058" s="11">
        <f t="shared" si="202"/>
        <v>0</v>
      </c>
      <c r="O1058" s="12" t="str">
        <f t="shared" si="203"/>
        <v/>
      </c>
      <c r="P1058" s="12" t="str">
        <f t="shared" si="204"/>
        <v/>
      </c>
      <c r="Q1058" s="13" t="str">
        <f t="shared" si="196"/>
        <v/>
      </c>
      <c r="R1058" s="13" t="str">
        <f t="shared" si="197"/>
        <v/>
      </c>
    </row>
    <row r="1059" spans="1:18" ht="15.75" customHeight="1" x14ac:dyDescent="0.3">
      <c r="A1059" s="7" t="s">
        <v>288</v>
      </c>
      <c r="B1059" s="7" t="s">
        <v>293</v>
      </c>
      <c r="C1059" s="24" t="s">
        <v>47</v>
      </c>
      <c r="D1059" s="24" t="s">
        <v>48</v>
      </c>
      <c r="E1059" s="8">
        <v>46206</v>
      </c>
      <c r="F1059" s="8">
        <v>46209</v>
      </c>
      <c r="G1059" s="9">
        <f t="shared" si="198"/>
        <v>4</v>
      </c>
      <c r="H1059" s="10"/>
      <c r="I1059" s="10"/>
      <c r="J1059" s="10"/>
      <c r="K1059" s="11">
        <f t="shared" si="199"/>
        <v>0</v>
      </c>
      <c r="L1059" s="11">
        <f t="shared" si="200"/>
        <v>0</v>
      </c>
      <c r="M1059" s="12" t="str">
        <f t="shared" si="201"/>
        <v/>
      </c>
      <c r="N1059" s="11">
        <f t="shared" si="202"/>
        <v>0</v>
      </c>
      <c r="O1059" s="12" t="str">
        <f t="shared" si="203"/>
        <v/>
      </c>
      <c r="P1059" s="12" t="str">
        <f t="shared" si="204"/>
        <v/>
      </c>
      <c r="Q1059" s="13" t="str">
        <f t="shared" si="196"/>
        <v/>
      </c>
      <c r="R1059" s="13" t="str">
        <f t="shared" si="197"/>
        <v/>
      </c>
    </row>
    <row r="1060" spans="1:18" ht="15.75" customHeight="1" x14ac:dyDescent="0.3">
      <c r="A1060" s="7" t="s">
        <v>288</v>
      </c>
      <c r="B1060" s="7" t="s">
        <v>248</v>
      </c>
      <c r="C1060" s="24" t="s">
        <v>47</v>
      </c>
      <c r="D1060" s="24" t="s">
        <v>48</v>
      </c>
      <c r="E1060" s="8">
        <v>46206</v>
      </c>
      <c r="F1060" s="8">
        <v>46209</v>
      </c>
      <c r="G1060" s="9">
        <f t="shared" si="198"/>
        <v>4</v>
      </c>
      <c r="H1060" s="10"/>
      <c r="I1060" s="10"/>
      <c r="J1060" s="10"/>
      <c r="K1060" s="11">
        <f t="shared" si="199"/>
        <v>0</v>
      </c>
      <c r="L1060" s="11">
        <f t="shared" si="200"/>
        <v>0</v>
      </c>
      <c r="M1060" s="12" t="str">
        <f t="shared" si="201"/>
        <v/>
      </c>
      <c r="N1060" s="11">
        <f t="shared" si="202"/>
        <v>0</v>
      </c>
      <c r="O1060" s="12" t="str">
        <f t="shared" si="203"/>
        <v/>
      </c>
      <c r="P1060" s="12" t="str">
        <f t="shared" si="204"/>
        <v/>
      </c>
      <c r="Q1060" s="13" t="str">
        <f t="shared" si="196"/>
        <v/>
      </c>
      <c r="R1060" s="13" t="str">
        <f t="shared" si="197"/>
        <v/>
      </c>
    </row>
    <row r="1061" spans="1:18" ht="15.75" customHeight="1" x14ac:dyDescent="0.3">
      <c r="A1061" s="7" t="s">
        <v>288</v>
      </c>
      <c r="B1061" s="7" t="s">
        <v>294</v>
      </c>
      <c r="C1061" s="24" t="s">
        <v>47</v>
      </c>
      <c r="D1061" s="24" t="s">
        <v>48</v>
      </c>
      <c r="E1061" s="8">
        <v>46206</v>
      </c>
      <c r="F1061" s="8">
        <v>46209</v>
      </c>
      <c r="G1061" s="9">
        <f t="shared" si="198"/>
        <v>4</v>
      </c>
      <c r="H1061" s="10"/>
      <c r="I1061" s="10"/>
      <c r="J1061" s="10"/>
      <c r="K1061" s="11">
        <f t="shared" si="199"/>
        <v>0</v>
      </c>
      <c r="L1061" s="11">
        <f t="shared" si="200"/>
        <v>0</v>
      </c>
      <c r="M1061" s="12" t="str">
        <f t="shared" si="201"/>
        <v/>
      </c>
      <c r="N1061" s="11">
        <f t="shared" si="202"/>
        <v>0</v>
      </c>
      <c r="O1061" s="12" t="str">
        <f t="shared" si="203"/>
        <v/>
      </c>
      <c r="P1061" s="12" t="str">
        <f t="shared" si="204"/>
        <v/>
      </c>
      <c r="Q1061" s="13" t="str">
        <f t="shared" si="196"/>
        <v/>
      </c>
      <c r="R1061" s="13" t="str">
        <f t="shared" si="197"/>
        <v/>
      </c>
    </row>
    <row r="1062" spans="1:18" ht="15.75" customHeight="1" x14ac:dyDescent="0.3">
      <c r="A1062" s="7" t="s">
        <v>288</v>
      </c>
      <c r="B1062" s="7" t="s">
        <v>295</v>
      </c>
      <c r="C1062" s="24" t="s">
        <v>47</v>
      </c>
      <c r="D1062" s="24" t="s">
        <v>48</v>
      </c>
      <c r="E1062" s="8">
        <v>46206</v>
      </c>
      <c r="F1062" s="8">
        <v>46209</v>
      </c>
      <c r="G1062" s="9">
        <f t="shared" si="198"/>
        <v>4</v>
      </c>
      <c r="H1062" s="10"/>
      <c r="I1062" s="10"/>
      <c r="J1062" s="10"/>
      <c r="K1062" s="11">
        <f t="shared" si="199"/>
        <v>0</v>
      </c>
      <c r="L1062" s="11">
        <f t="shared" si="200"/>
        <v>0</v>
      </c>
      <c r="M1062" s="12" t="str">
        <f t="shared" si="201"/>
        <v/>
      </c>
      <c r="N1062" s="11">
        <f t="shared" si="202"/>
        <v>0</v>
      </c>
      <c r="O1062" s="12" t="str">
        <f t="shared" si="203"/>
        <v/>
      </c>
      <c r="P1062" s="12" t="str">
        <f t="shared" si="204"/>
        <v/>
      </c>
      <c r="Q1062" s="13" t="str">
        <f t="shared" si="196"/>
        <v/>
      </c>
      <c r="R1062" s="13" t="str">
        <f t="shared" si="197"/>
        <v/>
      </c>
    </row>
    <row r="1063" spans="1:18" ht="15.75" customHeight="1" x14ac:dyDescent="0.3">
      <c r="A1063" s="7" t="s">
        <v>288</v>
      </c>
      <c r="B1063" s="7" t="s">
        <v>97</v>
      </c>
      <c r="C1063" s="24" t="s">
        <v>47</v>
      </c>
      <c r="D1063" s="24" t="s">
        <v>53</v>
      </c>
      <c r="E1063" s="8">
        <v>46206</v>
      </c>
      <c r="F1063" s="8">
        <v>46209</v>
      </c>
      <c r="G1063" s="9">
        <f t="shared" si="198"/>
        <v>4</v>
      </c>
      <c r="H1063" s="10"/>
      <c r="I1063" s="10"/>
      <c r="J1063" s="10"/>
      <c r="K1063" s="11">
        <f t="shared" si="199"/>
        <v>0</v>
      </c>
      <c r="L1063" s="11">
        <f t="shared" si="200"/>
        <v>0</v>
      </c>
      <c r="M1063" s="12" t="str">
        <f t="shared" si="201"/>
        <v/>
      </c>
      <c r="N1063" s="11">
        <f t="shared" si="202"/>
        <v>0</v>
      </c>
      <c r="O1063" s="12" t="str">
        <f t="shared" si="203"/>
        <v/>
      </c>
      <c r="P1063" s="12" t="str">
        <f t="shared" si="204"/>
        <v/>
      </c>
      <c r="Q1063" s="13" t="str">
        <f t="shared" si="196"/>
        <v/>
      </c>
      <c r="R1063" s="13" t="str">
        <f t="shared" si="197"/>
        <v/>
      </c>
    </row>
    <row r="1064" spans="1:18" ht="15.75" customHeight="1" x14ac:dyDescent="0.3">
      <c r="A1064" s="7" t="s">
        <v>288</v>
      </c>
      <c r="B1064" s="7" t="s">
        <v>145</v>
      </c>
      <c r="C1064" s="24" t="s">
        <v>47</v>
      </c>
      <c r="D1064" s="24" t="s">
        <v>53</v>
      </c>
      <c r="E1064" s="8">
        <v>46206</v>
      </c>
      <c r="F1064" s="8">
        <v>46209</v>
      </c>
      <c r="G1064" s="9">
        <f t="shared" si="198"/>
        <v>4</v>
      </c>
      <c r="H1064" s="10"/>
      <c r="I1064" s="10"/>
      <c r="J1064" s="10"/>
      <c r="K1064" s="11">
        <f t="shared" si="199"/>
        <v>0</v>
      </c>
      <c r="L1064" s="11">
        <f t="shared" si="200"/>
        <v>0</v>
      </c>
      <c r="M1064" s="12" t="str">
        <f t="shared" si="201"/>
        <v/>
      </c>
      <c r="N1064" s="11">
        <f t="shared" si="202"/>
        <v>0</v>
      </c>
      <c r="O1064" s="12" t="str">
        <f t="shared" si="203"/>
        <v/>
      </c>
      <c r="P1064" s="12" t="str">
        <f t="shared" si="204"/>
        <v/>
      </c>
      <c r="Q1064" s="13" t="str">
        <f t="shared" si="196"/>
        <v/>
      </c>
      <c r="R1064" s="13" t="str">
        <f t="shared" si="197"/>
        <v/>
      </c>
    </row>
    <row r="1065" spans="1:18" ht="15.75" customHeight="1" x14ac:dyDescent="0.3">
      <c r="A1065" s="7" t="s">
        <v>288</v>
      </c>
      <c r="B1065" s="7" t="s">
        <v>252</v>
      </c>
      <c r="C1065" s="24" t="s">
        <v>47</v>
      </c>
      <c r="D1065" s="24" t="s">
        <v>253</v>
      </c>
      <c r="E1065" s="8">
        <v>46206</v>
      </c>
      <c r="F1065" s="8">
        <v>46209</v>
      </c>
      <c r="G1065" s="9">
        <f t="shared" si="198"/>
        <v>4</v>
      </c>
      <c r="H1065" s="10"/>
      <c r="I1065" s="10"/>
      <c r="J1065" s="10"/>
      <c r="K1065" s="11">
        <f t="shared" si="199"/>
        <v>0</v>
      </c>
      <c r="L1065" s="11">
        <f t="shared" si="200"/>
        <v>0</v>
      </c>
      <c r="M1065" s="12" t="str">
        <f t="shared" si="201"/>
        <v/>
      </c>
      <c r="N1065" s="11">
        <f t="shared" si="202"/>
        <v>0</v>
      </c>
      <c r="O1065" s="12" t="str">
        <f t="shared" si="203"/>
        <v/>
      </c>
      <c r="P1065" s="12" t="str">
        <f t="shared" si="204"/>
        <v/>
      </c>
      <c r="Q1065" s="13" t="str">
        <f t="shared" si="196"/>
        <v/>
      </c>
      <c r="R1065" s="13" t="str">
        <f t="shared" si="197"/>
        <v/>
      </c>
    </row>
    <row r="1066" spans="1:18" ht="15.75" customHeight="1" x14ac:dyDescent="0.3">
      <c r="A1066" s="7" t="s">
        <v>288</v>
      </c>
      <c r="B1066" s="7" t="s">
        <v>296</v>
      </c>
      <c r="C1066" s="24" t="s">
        <v>47</v>
      </c>
      <c r="D1066" s="24" t="s">
        <v>253</v>
      </c>
      <c r="E1066" s="8">
        <v>46206</v>
      </c>
      <c r="F1066" s="8">
        <v>46209</v>
      </c>
      <c r="G1066" s="9">
        <f t="shared" si="198"/>
        <v>4</v>
      </c>
      <c r="H1066" s="10"/>
      <c r="I1066" s="10"/>
      <c r="J1066" s="10"/>
      <c r="K1066" s="11">
        <f t="shared" si="199"/>
        <v>0</v>
      </c>
      <c r="L1066" s="11">
        <f t="shared" si="200"/>
        <v>0</v>
      </c>
      <c r="M1066" s="12" t="str">
        <f t="shared" si="201"/>
        <v/>
      </c>
      <c r="N1066" s="11">
        <f t="shared" si="202"/>
        <v>0</v>
      </c>
      <c r="O1066" s="12" t="str">
        <f t="shared" si="203"/>
        <v/>
      </c>
      <c r="P1066" s="12" t="str">
        <f t="shared" si="204"/>
        <v/>
      </c>
      <c r="Q1066" s="13" t="str">
        <f t="shared" si="196"/>
        <v/>
      </c>
      <c r="R1066" s="13" t="str">
        <f t="shared" si="197"/>
        <v/>
      </c>
    </row>
    <row r="1067" spans="1:18" ht="15.75" customHeight="1" x14ac:dyDescent="0.3">
      <c r="A1067" s="7" t="s">
        <v>288</v>
      </c>
      <c r="B1067" s="7" t="s">
        <v>250</v>
      </c>
      <c r="C1067" s="24" t="s">
        <v>47</v>
      </c>
      <c r="D1067" s="24" t="s">
        <v>56</v>
      </c>
      <c r="E1067" s="8">
        <v>46206</v>
      </c>
      <c r="F1067" s="8">
        <v>46209</v>
      </c>
      <c r="G1067" s="9">
        <f t="shared" si="198"/>
        <v>4</v>
      </c>
      <c r="H1067" s="10"/>
      <c r="I1067" s="10"/>
      <c r="J1067" s="10"/>
      <c r="K1067" s="11">
        <f t="shared" si="199"/>
        <v>0</v>
      </c>
      <c r="L1067" s="11">
        <f t="shared" si="200"/>
        <v>0</v>
      </c>
      <c r="M1067" s="12" t="str">
        <f t="shared" si="201"/>
        <v/>
      </c>
      <c r="N1067" s="11">
        <f t="shared" si="202"/>
        <v>0</v>
      </c>
      <c r="O1067" s="12" t="str">
        <f t="shared" si="203"/>
        <v/>
      </c>
      <c r="P1067" s="12" t="str">
        <f t="shared" si="204"/>
        <v/>
      </c>
      <c r="Q1067" s="13" t="str">
        <f t="shared" si="196"/>
        <v/>
      </c>
      <c r="R1067" s="13" t="str">
        <f t="shared" si="197"/>
        <v/>
      </c>
    </row>
    <row r="1068" spans="1:18" ht="15.75" customHeight="1" x14ac:dyDescent="0.3">
      <c r="A1068" s="7" t="s">
        <v>288</v>
      </c>
      <c r="B1068" s="7" t="s">
        <v>251</v>
      </c>
      <c r="C1068" s="24" t="s">
        <v>47</v>
      </c>
      <c r="D1068" s="24" t="s">
        <v>56</v>
      </c>
      <c r="E1068" s="8">
        <v>46206</v>
      </c>
      <c r="F1068" s="8">
        <v>46209</v>
      </c>
      <c r="G1068" s="9">
        <f t="shared" si="198"/>
        <v>4</v>
      </c>
      <c r="H1068" s="10"/>
      <c r="I1068" s="10"/>
      <c r="J1068" s="10"/>
      <c r="K1068" s="11">
        <f t="shared" si="199"/>
        <v>0</v>
      </c>
      <c r="L1068" s="11">
        <f t="shared" si="200"/>
        <v>0</v>
      </c>
      <c r="M1068" s="12" t="str">
        <f t="shared" si="201"/>
        <v/>
      </c>
      <c r="N1068" s="11">
        <f t="shared" si="202"/>
        <v>0</v>
      </c>
      <c r="O1068" s="12" t="str">
        <f t="shared" si="203"/>
        <v/>
      </c>
      <c r="P1068" s="12" t="str">
        <f t="shared" si="204"/>
        <v/>
      </c>
      <c r="Q1068" s="13" t="str">
        <f t="shared" si="196"/>
        <v/>
      </c>
      <c r="R1068" s="13" t="str">
        <f t="shared" si="197"/>
        <v/>
      </c>
    </row>
    <row r="1069" spans="1:18" ht="15.75" customHeight="1" x14ac:dyDescent="0.3">
      <c r="A1069" s="7" t="s">
        <v>288</v>
      </c>
      <c r="B1069" s="7" t="s">
        <v>287</v>
      </c>
      <c r="C1069" s="24" t="s">
        <v>47</v>
      </c>
      <c r="D1069" s="24" t="s">
        <v>448</v>
      </c>
      <c r="E1069" s="8">
        <v>46206</v>
      </c>
      <c r="F1069" s="8">
        <v>46209</v>
      </c>
      <c r="G1069" s="9">
        <f t="shared" si="198"/>
        <v>4</v>
      </c>
      <c r="H1069" s="10"/>
      <c r="I1069" s="10"/>
      <c r="J1069" s="10"/>
      <c r="K1069" s="11">
        <f t="shared" si="199"/>
        <v>0</v>
      </c>
      <c r="L1069" s="11">
        <f t="shared" si="200"/>
        <v>0</v>
      </c>
      <c r="M1069" s="12" t="str">
        <f t="shared" si="201"/>
        <v/>
      </c>
      <c r="N1069" s="11">
        <f t="shared" si="202"/>
        <v>0</v>
      </c>
      <c r="O1069" s="12" t="str">
        <f t="shared" si="203"/>
        <v/>
      </c>
      <c r="P1069" s="12" t="str">
        <f t="shared" si="204"/>
        <v/>
      </c>
      <c r="Q1069" s="13" t="str">
        <f t="shared" ref="Q1069:Q1132" si="205">IFERROR((I1069/H1069)*K1069,"")</f>
        <v/>
      </c>
      <c r="R1069" s="13" t="str">
        <f t="shared" ref="R1069:R1132" si="206">IFERROR((J1069/H1069)*K1069,"")</f>
        <v/>
      </c>
    </row>
    <row r="1070" spans="1:18" ht="15.75" customHeight="1" x14ac:dyDescent="0.3">
      <c r="A1070" s="7" t="s">
        <v>288</v>
      </c>
      <c r="B1070" s="7" t="s">
        <v>121</v>
      </c>
      <c r="C1070" s="24" t="s">
        <v>58</v>
      </c>
      <c r="D1070" s="24" t="s">
        <v>61</v>
      </c>
      <c r="E1070" s="8">
        <v>46206</v>
      </c>
      <c r="F1070" s="8">
        <v>46209</v>
      </c>
      <c r="G1070" s="9">
        <f t="shared" si="198"/>
        <v>4</v>
      </c>
      <c r="H1070" s="10"/>
      <c r="I1070" s="10"/>
      <c r="J1070" s="10"/>
      <c r="K1070" s="11">
        <f t="shared" si="199"/>
        <v>0</v>
      </c>
      <c r="L1070" s="11">
        <f t="shared" si="200"/>
        <v>0</v>
      </c>
      <c r="M1070" s="12" t="str">
        <f t="shared" si="201"/>
        <v/>
      </c>
      <c r="N1070" s="11">
        <f t="shared" si="202"/>
        <v>0</v>
      </c>
      <c r="O1070" s="12" t="str">
        <f t="shared" si="203"/>
        <v/>
      </c>
      <c r="P1070" s="12" t="str">
        <f t="shared" si="204"/>
        <v/>
      </c>
      <c r="Q1070" s="13" t="str">
        <f t="shared" si="205"/>
        <v/>
      </c>
      <c r="R1070" s="13" t="str">
        <f t="shared" si="206"/>
        <v/>
      </c>
    </row>
    <row r="1071" spans="1:18" ht="15.75" customHeight="1" x14ac:dyDescent="0.3">
      <c r="A1071" s="7" t="s">
        <v>288</v>
      </c>
      <c r="B1071" s="7" t="s">
        <v>126</v>
      </c>
      <c r="C1071" s="24" t="s">
        <v>58</v>
      </c>
      <c r="D1071" s="24" t="s">
        <v>61</v>
      </c>
      <c r="E1071" s="8">
        <v>46206</v>
      </c>
      <c r="F1071" s="8">
        <v>46209</v>
      </c>
      <c r="G1071" s="9">
        <f t="shared" si="198"/>
        <v>4</v>
      </c>
      <c r="H1071" s="10"/>
      <c r="I1071" s="10"/>
      <c r="J1071" s="10"/>
      <c r="K1071" s="11">
        <f t="shared" si="199"/>
        <v>0</v>
      </c>
      <c r="L1071" s="11">
        <f t="shared" si="200"/>
        <v>0</v>
      </c>
      <c r="M1071" s="12" t="str">
        <f t="shared" si="201"/>
        <v/>
      </c>
      <c r="N1071" s="11">
        <f t="shared" si="202"/>
        <v>0</v>
      </c>
      <c r="O1071" s="12" t="str">
        <f t="shared" si="203"/>
        <v/>
      </c>
      <c r="P1071" s="12" t="str">
        <f t="shared" si="204"/>
        <v/>
      </c>
      <c r="Q1071" s="13" t="str">
        <f t="shared" si="205"/>
        <v/>
      </c>
      <c r="R1071" s="13" t="str">
        <f t="shared" si="206"/>
        <v/>
      </c>
    </row>
    <row r="1072" spans="1:18" ht="15.75" customHeight="1" x14ac:dyDescent="0.3">
      <c r="A1072" s="7" t="s">
        <v>288</v>
      </c>
      <c r="B1072" s="7" t="s">
        <v>127</v>
      </c>
      <c r="C1072" s="24" t="s">
        <v>58</v>
      </c>
      <c r="D1072" s="24" t="s">
        <v>107</v>
      </c>
      <c r="E1072" s="8">
        <v>46206</v>
      </c>
      <c r="F1072" s="8">
        <v>46209</v>
      </c>
      <c r="G1072" s="9">
        <f t="shared" si="198"/>
        <v>4</v>
      </c>
      <c r="H1072" s="10"/>
      <c r="I1072" s="10"/>
      <c r="J1072" s="10"/>
      <c r="K1072" s="11">
        <f t="shared" si="199"/>
        <v>0</v>
      </c>
      <c r="L1072" s="11">
        <f t="shared" si="200"/>
        <v>0</v>
      </c>
      <c r="M1072" s="12" t="str">
        <f t="shared" si="201"/>
        <v/>
      </c>
      <c r="N1072" s="11">
        <f t="shared" si="202"/>
        <v>0</v>
      </c>
      <c r="O1072" s="12" t="str">
        <f t="shared" si="203"/>
        <v/>
      </c>
      <c r="P1072" s="12" t="str">
        <f t="shared" si="204"/>
        <v/>
      </c>
      <c r="Q1072" s="13" t="str">
        <f t="shared" si="205"/>
        <v/>
      </c>
      <c r="R1072" s="13" t="str">
        <f t="shared" si="206"/>
        <v/>
      </c>
    </row>
    <row r="1073" spans="1:18" ht="15.75" customHeight="1" x14ac:dyDescent="0.3">
      <c r="A1073" s="7" t="s">
        <v>288</v>
      </c>
      <c r="B1073" s="7" t="s">
        <v>244</v>
      </c>
      <c r="C1073" s="24" t="s">
        <v>58</v>
      </c>
      <c r="D1073" s="24" t="s">
        <v>103</v>
      </c>
      <c r="E1073" s="8">
        <v>46206</v>
      </c>
      <c r="F1073" s="8">
        <v>46209</v>
      </c>
      <c r="G1073" s="9">
        <f t="shared" si="198"/>
        <v>4</v>
      </c>
      <c r="H1073" s="10"/>
      <c r="I1073" s="10"/>
      <c r="J1073" s="10"/>
      <c r="K1073" s="11">
        <f t="shared" si="199"/>
        <v>0</v>
      </c>
      <c r="L1073" s="11">
        <f t="shared" si="200"/>
        <v>0</v>
      </c>
      <c r="M1073" s="12" t="str">
        <f t="shared" si="201"/>
        <v/>
      </c>
      <c r="N1073" s="11">
        <f t="shared" si="202"/>
        <v>0</v>
      </c>
      <c r="O1073" s="12" t="str">
        <f t="shared" si="203"/>
        <v/>
      </c>
      <c r="P1073" s="12" t="str">
        <f t="shared" si="204"/>
        <v/>
      </c>
      <c r="Q1073" s="13" t="str">
        <f t="shared" si="205"/>
        <v/>
      </c>
      <c r="R1073" s="13" t="str">
        <f t="shared" si="206"/>
        <v/>
      </c>
    </row>
    <row r="1074" spans="1:18" ht="15.75" customHeight="1" x14ac:dyDescent="0.3">
      <c r="A1074" s="7" t="s">
        <v>288</v>
      </c>
      <c r="B1074" s="7" t="s">
        <v>236</v>
      </c>
      <c r="C1074" s="24" t="s">
        <v>58</v>
      </c>
      <c r="D1074" s="24" t="s">
        <v>61</v>
      </c>
      <c r="E1074" s="8">
        <v>46206</v>
      </c>
      <c r="F1074" s="8">
        <v>46209</v>
      </c>
      <c r="G1074" s="9">
        <f t="shared" si="198"/>
        <v>4</v>
      </c>
      <c r="H1074" s="10"/>
      <c r="I1074" s="10"/>
      <c r="J1074" s="10"/>
      <c r="K1074" s="11">
        <f t="shared" si="199"/>
        <v>0</v>
      </c>
      <c r="L1074" s="11">
        <f t="shared" si="200"/>
        <v>0</v>
      </c>
      <c r="M1074" s="12" t="str">
        <f t="shared" si="201"/>
        <v/>
      </c>
      <c r="N1074" s="11">
        <f t="shared" si="202"/>
        <v>0</v>
      </c>
      <c r="O1074" s="12" t="str">
        <f t="shared" si="203"/>
        <v/>
      </c>
      <c r="P1074" s="12" t="str">
        <f t="shared" si="204"/>
        <v/>
      </c>
      <c r="Q1074" s="13" t="str">
        <f t="shared" si="205"/>
        <v/>
      </c>
      <c r="R1074" s="13" t="str">
        <f t="shared" si="206"/>
        <v/>
      </c>
    </row>
    <row r="1075" spans="1:18" ht="15.75" customHeight="1" x14ac:dyDescent="0.3">
      <c r="A1075" s="7" t="s">
        <v>288</v>
      </c>
      <c r="B1075" s="7" t="s">
        <v>237</v>
      </c>
      <c r="C1075" s="24" t="s">
        <v>58</v>
      </c>
      <c r="D1075" s="24" t="s">
        <v>107</v>
      </c>
      <c r="E1075" s="8">
        <v>46206</v>
      </c>
      <c r="F1075" s="8">
        <v>46209</v>
      </c>
      <c r="G1075" s="9">
        <f t="shared" ref="G1075:G1138" si="207">F1075-E1075+1</f>
        <v>4</v>
      </c>
      <c r="H1075" s="10"/>
      <c r="I1075" s="10"/>
      <c r="J1075" s="10"/>
      <c r="K1075" s="11">
        <f t="shared" si="199"/>
        <v>0</v>
      </c>
      <c r="L1075" s="11">
        <f t="shared" si="200"/>
        <v>0</v>
      </c>
      <c r="M1075" s="12" t="str">
        <f t="shared" si="201"/>
        <v/>
      </c>
      <c r="N1075" s="11">
        <f t="shared" si="202"/>
        <v>0</v>
      </c>
      <c r="O1075" s="12" t="str">
        <f t="shared" si="203"/>
        <v/>
      </c>
      <c r="P1075" s="12" t="str">
        <f t="shared" si="204"/>
        <v/>
      </c>
      <c r="Q1075" s="13" t="str">
        <f t="shared" si="205"/>
        <v/>
      </c>
      <c r="R1075" s="13" t="str">
        <f t="shared" si="206"/>
        <v/>
      </c>
    </row>
    <row r="1076" spans="1:18" ht="15.75" customHeight="1" x14ac:dyDescent="0.3">
      <c r="A1076" s="7" t="s">
        <v>288</v>
      </c>
      <c r="B1076" s="7" t="s">
        <v>87</v>
      </c>
      <c r="C1076" s="24" t="s">
        <v>58</v>
      </c>
      <c r="D1076" s="24" t="s">
        <v>64</v>
      </c>
      <c r="E1076" s="8">
        <v>46206</v>
      </c>
      <c r="F1076" s="8">
        <v>46209</v>
      </c>
      <c r="G1076" s="9">
        <f t="shared" si="207"/>
        <v>4</v>
      </c>
      <c r="H1076" s="10"/>
      <c r="I1076" s="10"/>
      <c r="J1076" s="10"/>
      <c r="K1076" s="11">
        <f t="shared" si="199"/>
        <v>0</v>
      </c>
      <c r="L1076" s="11">
        <f t="shared" si="200"/>
        <v>0</v>
      </c>
      <c r="M1076" s="12" t="str">
        <f t="shared" si="201"/>
        <v/>
      </c>
      <c r="N1076" s="11">
        <f t="shared" si="202"/>
        <v>0</v>
      </c>
      <c r="O1076" s="12" t="str">
        <f t="shared" si="203"/>
        <v/>
      </c>
      <c r="P1076" s="12" t="str">
        <f t="shared" si="204"/>
        <v/>
      </c>
      <c r="Q1076" s="13" t="str">
        <f t="shared" si="205"/>
        <v/>
      </c>
      <c r="R1076" s="13" t="str">
        <f t="shared" si="206"/>
        <v/>
      </c>
    </row>
    <row r="1077" spans="1:18" ht="15.75" customHeight="1" x14ac:dyDescent="0.3">
      <c r="A1077" s="7" t="s">
        <v>288</v>
      </c>
      <c r="B1077" s="7" t="s">
        <v>69</v>
      </c>
      <c r="C1077" s="24" t="s">
        <v>58</v>
      </c>
      <c r="D1077" s="24" t="s">
        <v>66</v>
      </c>
      <c r="E1077" s="8">
        <v>46206</v>
      </c>
      <c r="F1077" s="8">
        <v>46209</v>
      </c>
      <c r="G1077" s="9">
        <f t="shared" si="207"/>
        <v>4</v>
      </c>
      <c r="H1077" s="10"/>
      <c r="I1077" s="10"/>
      <c r="J1077" s="10"/>
      <c r="K1077" s="11">
        <f t="shared" si="199"/>
        <v>0</v>
      </c>
      <c r="L1077" s="11">
        <f t="shared" si="200"/>
        <v>0</v>
      </c>
      <c r="M1077" s="12" t="str">
        <f t="shared" si="201"/>
        <v/>
      </c>
      <c r="N1077" s="11">
        <f t="shared" si="202"/>
        <v>0</v>
      </c>
      <c r="O1077" s="12" t="str">
        <f t="shared" si="203"/>
        <v/>
      </c>
      <c r="P1077" s="12" t="str">
        <f t="shared" si="204"/>
        <v/>
      </c>
      <c r="Q1077" s="13" t="str">
        <f t="shared" si="205"/>
        <v/>
      </c>
      <c r="R1077" s="13" t="str">
        <f t="shared" si="206"/>
        <v/>
      </c>
    </row>
    <row r="1078" spans="1:18" ht="15.75" customHeight="1" x14ac:dyDescent="0.3">
      <c r="A1078" s="7" t="s">
        <v>288</v>
      </c>
      <c r="B1078" s="7" t="s">
        <v>70</v>
      </c>
      <c r="C1078" s="24" t="s">
        <v>58</v>
      </c>
      <c r="D1078" s="24" t="s">
        <v>68</v>
      </c>
      <c r="E1078" s="8">
        <v>46206</v>
      </c>
      <c r="F1078" s="8">
        <v>46209</v>
      </c>
      <c r="G1078" s="9">
        <f t="shared" si="207"/>
        <v>4</v>
      </c>
      <c r="H1078" s="10"/>
      <c r="I1078" s="10"/>
      <c r="J1078" s="10"/>
      <c r="K1078" s="11">
        <f t="shared" si="199"/>
        <v>0</v>
      </c>
      <c r="L1078" s="11">
        <f t="shared" si="200"/>
        <v>0</v>
      </c>
      <c r="M1078" s="12" t="str">
        <f t="shared" si="201"/>
        <v/>
      </c>
      <c r="N1078" s="11">
        <f t="shared" si="202"/>
        <v>0</v>
      </c>
      <c r="O1078" s="12" t="str">
        <f t="shared" si="203"/>
        <v/>
      </c>
      <c r="P1078" s="12" t="str">
        <f t="shared" si="204"/>
        <v/>
      </c>
      <c r="Q1078" s="13" t="str">
        <f t="shared" si="205"/>
        <v/>
      </c>
      <c r="R1078" s="13" t="str">
        <f t="shared" si="206"/>
        <v/>
      </c>
    </row>
    <row r="1079" spans="1:18" ht="15.75" customHeight="1" x14ac:dyDescent="0.3">
      <c r="A1079" s="7" t="s">
        <v>288</v>
      </c>
      <c r="B1079" s="7" t="s">
        <v>136</v>
      </c>
      <c r="C1079" s="24" t="s">
        <v>58</v>
      </c>
      <c r="D1079" s="24" t="s">
        <v>66</v>
      </c>
      <c r="E1079" s="8">
        <v>46206</v>
      </c>
      <c r="F1079" s="8">
        <v>46209</v>
      </c>
      <c r="G1079" s="9">
        <f t="shared" si="207"/>
        <v>4</v>
      </c>
      <c r="H1079" s="10"/>
      <c r="I1079" s="10"/>
      <c r="J1079" s="10"/>
      <c r="K1079" s="11">
        <f t="shared" si="199"/>
        <v>0</v>
      </c>
      <c r="L1079" s="11">
        <f t="shared" si="200"/>
        <v>0</v>
      </c>
      <c r="M1079" s="12" t="str">
        <f t="shared" si="201"/>
        <v/>
      </c>
      <c r="N1079" s="11">
        <f t="shared" si="202"/>
        <v>0</v>
      </c>
      <c r="O1079" s="12" t="str">
        <f t="shared" si="203"/>
        <v/>
      </c>
      <c r="P1079" s="12" t="str">
        <f t="shared" si="204"/>
        <v/>
      </c>
      <c r="Q1079" s="13" t="str">
        <f t="shared" si="205"/>
        <v/>
      </c>
      <c r="R1079" s="13" t="str">
        <f t="shared" si="206"/>
        <v/>
      </c>
    </row>
    <row r="1080" spans="1:18" ht="15.75" customHeight="1" x14ac:dyDescent="0.3">
      <c r="A1080" s="7" t="s">
        <v>288</v>
      </c>
      <c r="B1080" s="7" t="s">
        <v>137</v>
      </c>
      <c r="C1080" s="24" t="s">
        <v>58</v>
      </c>
      <c r="D1080" s="24" t="s">
        <v>68</v>
      </c>
      <c r="E1080" s="8">
        <v>46206</v>
      </c>
      <c r="F1080" s="8">
        <v>46209</v>
      </c>
      <c r="G1080" s="9">
        <f t="shared" si="207"/>
        <v>4</v>
      </c>
      <c r="H1080" s="10"/>
      <c r="I1080" s="10"/>
      <c r="J1080" s="10"/>
      <c r="K1080" s="11">
        <f t="shared" ref="K1080:K1143" si="208">IFERROR(H1080/G1080,"")</f>
        <v>0</v>
      </c>
      <c r="L1080" s="11">
        <f t="shared" ref="L1080:L1143" si="209">IFERROR(I1080/G1080,"")</f>
        <v>0</v>
      </c>
      <c r="M1080" s="12" t="str">
        <f t="shared" ref="M1080:M1143" si="210">IFERROR(I1080/H1080,"")</f>
        <v/>
      </c>
      <c r="N1080" s="11">
        <f t="shared" ref="N1080:N1143" si="211">IFERROR(J1080/G1080,"")</f>
        <v>0</v>
      </c>
      <c r="O1080" s="12" t="str">
        <f t="shared" ref="O1080:O1143" si="212">IFERROR(J1080/I1080,"")</f>
        <v/>
      </c>
      <c r="P1080" s="12" t="str">
        <f t="shared" ref="P1080:P1143" si="213">IFERROR(J1080/H1080,"")</f>
        <v/>
      </c>
      <c r="Q1080" s="13" t="str">
        <f t="shared" si="205"/>
        <v/>
      </c>
      <c r="R1080" s="13" t="str">
        <f t="shared" si="206"/>
        <v/>
      </c>
    </row>
    <row r="1081" spans="1:18" ht="15.75" customHeight="1" x14ac:dyDescent="0.3">
      <c r="A1081" s="7" t="s">
        <v>288</v>
      </c>
      <c r="B1081" s="7" t="s">
        <v>224</v>
      </c>
      <c r="C1081" s="24" t="s">
        <v>58</v>
      </c>
      <c r="D1081" s="24" t="s">
        <v>66</v>
      </c>
      <c r="E1081" s="8">
        <v>46206</v>
      </c>
      <c r="F1081" s="8">
        <v>46209</v>
      </c>
      <c r="G1081" s="9">
        <f t="shared" si="207"/>
        <v>4</v>
      </c>
      <c r="H1081" s="10"/>
      <c r="I1081" s="10"/>
      <c r="J1081" s="10"/>
      <c r="K1081" s="11">
        <f t="shared" si="208"/>
        <v>0</v>
      </c>
      <c r="L1081" s="11">
        <f t="shared" si="209"/>
        <v>0</v>
      </c>
      <c r="M1081" s="12" t="str">
        <f t="shared" si="210"/>
        <v/>
      </c>
      <c r="N1081" s="11">
        <f t="shared" si="211"/>
        <v>0</v>
      </c>
      <c r="O1081" s="12" t="str">
        <f t="shared" si="212"/>
        <v/>
      </c>
      <c r="P1081" s="12" t="str">
        <f t="shared" si="213"/>
        <v/>
      </c>
      <c r="Q1081" s="13" t="str">
        <f t="shared" si="205"/>
        <v/>
      </c>
      <c r="R1081" s="13" t="str">
        <f t="shared" si="206"/>
        <v/>
      </c>
    </row>
    <row r="1082" spans="1:18" ht="15.75" customHeight="1" x14ac:dyDescent="0.3">
      <c r="A1082" s="7" t="s">
        <v>288</v>
      </c>
      <c r="B1082" s="7" t="s">
        <v>225</v>
      </c>
      <c r="C1082" s="24" t="s">
        <v>58</v>
      </c>
      <c r="D1082" s="24" t="s">
        <v>68</v>
      </c>
      <c r="E1082" s="8">
        <v>46206</v>
      </c>
      <c r="F1082" s="8">
        <v>46209</v>
      </c>
      <c r="G1082" s="9">
        <f t="shared" si="207"/>
        <v>4</v>
      </c>
      <c r="H1082" s="10"/>
      <c r="I1082" s="10"/>
      <c r="J1082" s="10"/>
      <c r="K1082" s="11">
        <f t="shared" si="208"/>
        <v>0</v>
      </c>
      <c r="L1082" s="11">
        <f t="shared" si="209"/>
        <v>0</v>
      </c>
      <c r="M1082" s="12" t="str">
        <f t="shared" si="210"/>
        <v/>
      </c>
      <c r="N1082" s="11">
        <f t="shared" si="211"/>
        <v>0</v>
      </c>
      <c r="O1082" s="12" t="str">
        <f t="shared" si="212"/>
        <v/>
      </c>
      <c r="P1082" s="12" t="str">
        <f t="shared" si="213"/>
        <v/>
      </c>
      <c r="Q1082" s="13" t="str">
        <f t="shared" si="205"/>
        <v/>
      </c>
      <c r="R1082" s="13" t="str">
        <f t="shared" si="206"/>
        <v/>
      </c>
    </row>
    <row r="1083" spans="1:18" ht="15.75" customHeight="1" x14ac:dyDescent="0.3">
      <c r="A1083" s="7" t="s">
        <v>288</v>
      </c>
      <c r="B1083" s="7" t="s">
        <v>112</v>
      </c>
      <c r="C1083" s="24" t="s">
        <v>58</v>
      </c>
      <c r="D1083" s="24" t="s">
        <v>66</v>
      </c>
      <c r="E1083" s="8">
        <v>46206</v>
      </c>
      <c r="F1083" s="8">
        <v>46209</v>
      </c>
      <c r="G1083" s="9">
        <f t="shared" si="207"/>
        <v>4</v>
      </c>
      <c r="H1083" s="10"/>
      <c r="I1083" s="10"/>
      <c r="J1083" s="10"/>
      <c r="K1083" s="11">
        <f t="shared" si="208"/>
        <v>0</v>
      </c>
      <c r="L1083" s="11">
        <f t="shared" si="209"/>
        <v>0</v>
      </c>
      <c r="M1083" s="12" t="str">
        <f t="shared" si="210"/>
        <v/>
      </c>
      <c r="N1083" s="11">
        <f t="shared" si="211"/>
        <v>0</v>
      </c>
      <c r="O1083" s="12" t="str">
        <f t="shared" si="212"/>
        <v/>
      </c>
      <c r="P1083" s="12" t="str">
        <f t="shared" si="213"/>
        <v/>
      </c>
      <c r="Q1083" s="13" t="str">
        <f t="shared" si="205"/>
        <v/>
      </c>
      <c r="R1083" s="13" t="str">
        <f t="shared" si="206"/>
        <v/>
      </c>
    </row>
    <row r="1084" spans="1:18" ht="15.75" customHeight="1" x14ac:dyDescent="0.3">
      <c r="A1084" s="7" t="s">
        <v>288</v>
      </c>
      <c r="B1084" s="7" t="s">
        <v>113</v>
      </c>
      <c r="C1084" s="24" t="s">
        <v>58</v>
      </c>
      <c r="D1084" s="24" t="s">
        <v>68</v>
      </c>
      <c r="E1084" s="8">
        <v>46206</v>
      </c>
      <c r="F1084" s="8">
        <v>46209</v>
      </c>
      <c r="G1084" s="9">
        <f t="shared" si="207"/>
        <v>4</v>
      </c>
      <c r="H1084" s="10"/>
      <c r="I1084" s="10"/>
      <c r="J1084" s="10"/>
      <c r="K1084" s="11">
        <f t="shared" si="208"/>
        <v>0</v>
      </c>
      <c r="L1084" s="11">
        <f t="shared" si="209"/>
        <v>0</v>
      </c>
      <c r="M1084" s="12" t="str">
        <f t="shared" si="210"/>
        <v/>
      </c>
      <c r="N1084" s="11">
        <f t="shared" si="211"/>
        <v>0</v>
      </c>
      <c r="O1084" s="12" t="str">
        <f t="shared" si="212"/>
        <v/>
      </c>
      <c r="P1084" s="12" t="str">
        <f t="shared" si="213"/>
        <v/>
      </c>
      <c r="Q1084" s="13" t="str">
        <f t="shared" si="205"/>
        <v/>
      </c>
      <c r="R1084" s="13" t="str">
        <f t="shared" si="206"/>
        <v/>
      </c>
    </row>
    <row r="1085" spans="1:18" ht="15.75" customHeight="1" x14ac:dyDescent="0.3">
      <c r="A1085" s="7" t="s">
        <v>288</v>
      </c>
      <c r="B1085" s="7" t="s">
        <v>238</v>
      </c>
      <c r="C1085" s="24" t="s">
        <v>58</v>
      </c>
      <c r="D1085" s="24" t="s">
        <v>66</v>
      </c>
      <c r="E1085" s="8">
        <v>46206</v>
      </c>
      <c r="F1085" s="8">
        <v>46209</v>
      </c>
      <c r="G1085" s="9">
        <f t="shared" si="207"/>
        <v>4</v>
      </c>
      <c r="H1085" s="10"/>
      <c r="I1085" s="10"/>
      <c r="J1085" s="10"/>
      <c r="K1085" s="11">
        <f t="shared" si="208"/>
        <v>0</v>
      </c>
      <c r="L1085" s="11">
        <f t="shared" si="209"/>
        <v>0</v>
      </c>
      <c r="M1085" s="12" t="str">
        <f t="shared" si="210"/>
        <v/>
      </c>
      <c r="N1085" s="11">
        <f t="shared" si="211"/>
        <v>0</v>
      </c>
      <c r="O1085" s="12" t="str">
        <f t="shared" si="212"/>
        <v/>
      </c>
      <c r="P1085" s="12" t="str">
        <f t="shared" si="213"/>
        <v/>
      </c>
      <c r="Q1085" s="13" t="str">
        <f t="shared" si="205"/>
        <v/>
      </c>
      <c r="R1085" s="13" t="str">
        <f t="shared" si="206"/>
        <v/>
      </c>
    </row>
    <row r="1086" spans="1:18" ht="15.75" customHeight="1" x14ac:dyDescent="0.3">
      <c r="A1086" s="7" t="s">
        <v>288</v>
      </c>
      <c r="B1086" s="7" t="s">
        <v>131</v>
      </c>
      <c r="C1086" s="24" t="s">
        <v>58</v>
      </c>
      <c r="D1086" s="24" t="s">
        <v>74</v>
      </c>
      <c r="E1086" s="8">
        <v>46206</v>
      </c>
      <c r="F1086" s="8">
        <v>46209</v>
      </c>
      <c r="G1086" s="9">
        <f t="shared" si="207"/>
        <v>4</v>
      </c>
      <c r="H1086" s="10"/>
      <c r="I1086" s="10"/>
      <c r="J1086" s="10"/>
      <c r="K1086" s="11">
        <f t="shared" si="208"/>
        <v>0</v>
      </c>
      <c r="L1086" s="11">
        <f t="shared" si="209"/>
        <v>0</v>
      </c>
      <c r="M1086" s="12" t="str">
        <f t="shared" si="210"/>
        <v/>
      </c>
      <c r="N1086" s="11">
        <f t="shared" si="211"/>
        <v>0</v>
      </c>
      <c r="O1086" s="12" t="str">
        <f t="shared" si="212"/>
        <v/>
      </c>
      <c r="P1086" s="12" t="str">
        <f t="shared" si="213"/>
        <v/>
      </c>
      <c r="Q1086" s="13" t="str">
        <f t="shared" si="205"/>
        <v/>
      </c>
      <c r="R1086" s="13" t="str">
        <f t="shared" si="206"/>
        <v/>
      </c>
    </row>
    <row r="1087" spans="1:18" ht="15.75" customHeight="1" x14ac:dyDescent="0.3">
      <c r="A1087" s="7" t="s">
        <v>288</v>
      </c>
      <c r="B1087" s="7" t="s">
        <v>132</v>
      </c>
      <c r="C1087" s="24" t="s">
        <v>58</v>
      </c>
      <c r="D1087" s="24" t="s">
        <v>74</v>
      </c>
      <c r="E1087" s="8">
        <v>46206</v>
      </c>
      <c r="F1087" s="8">
        <v>46209</v>
      </c>
      <c r="G1087" s="9">
        <f t="shared" si="207"/>
        <v>4</v>
      </c>
      <c r="H1087" s="10"/>
      <c r="I1087" s="10"/>
      <c r="J1087" s="10"/>
      <c r="K1087" s="11">
        <f t="shared" si="208"/>
        <v>0</v>
      </c>
      <c r="L1087" s="11">
        <f t="shared" si="209"/>
        <v>0</v>
      </c>
      <c r="M1087" s="12" t="str">
        <f t="shared" si="210"/>
        <v/>
      </c>
      <c r="N1087" s="11">
        <f t="shared" si="211"/>
        <v>0</v>
      </c>
      <c r="O1087" s="12" t="str">
        <f t="shared" si="212"/>
        <v/>
      </c>
      <c r="P1087" s="12" t="str">
        <f t="shared" si="213"/>
        <v/>
      </c>
      <c r="Q1087" s="13" t="str">
        <f t="shared" si="205"/>
        <v/>
      </c>
      <c r="R1087" s="13" t="str">
        <f t="shared" si="206"/>
        <v/>
      </c>
    </row>
    <row r="1088" spans="1:18" ht="15.75" customHeight="1" x14ac:dyDescent="0.3">
      <c r="A1088" s="7" t="s">
        <v>288</v>
      </c>
      <c r="B1088" s="7" t="s">
        <v>202</v>
      </c>
      <c r="C1088" s="24" t="s">
        <v>58</v>
      </c>
      <c r="D1088" s="24" t="s">
        <v>59</v>
      </c>
      <c r="E1088" s="8">
        <v>46206</v>
      </c>
      <c r="F1088" s="8">
        <v>46209</v>
      </c>
      <c r="G1088" s="9">
        <f t="shared" si="207"/>
        <v>4</v>
      </c>
      <c r="H1088" s="10"/>
      <c r="I1088" s="10"/>
      <c r="J1088" s="10"/>
      <c r="K1088" s="11">
        <f t="shared" si="208"/>
        <v>0</v>
      </c>
      <c r="L1088" s="11">
        <f t="shared" si="209"/>
        <v>0</v>
      </c>
      <c r="M1088" s="12" t="str">
        <f t="shared" si="210"/>
        <v/>
      </c>
      <c r="N1088" s="11">
        <f t="shared" si="211"/>
        <v>0</v>
      </c>
      <c r="O1088" s="12" t="str">
        <f t="shared" si="212"/>
        <v/>
      </c>
      <c r="P1088" s="12" t="str">
        <f t="shared" si="213"/>
        <v/>
      </c>
      <c r="Q1088" s="13" t="str">
        <f t="shared" si="205"/>
        <v/>
      </c>
      <c r="R1088" s="13" t="str">
        <f t="shared" si="206"/>
        <v/>
      </c>
    </row>
    <row r="1089" spans="1:18" ht="15.75" customHeight="1" x14ac:dyDescent="0.3">
      <c r="A1089" s="7" t="s">
        <v>288</v>
      </c>
      <c r="B1089" s="7" t="s">
        <v>203</v>
      </c>
      <c r="C1089" s="24" t="s">
        <v>58</v>
      </c>
      <c r="D1089" s="24" t="s">
        <v>59</v>
      </c>
      <c r="E1089" s="8">
        <v>46206</v>
      </c>
      <c r="F1089" s="8">
        <v>46209</v>
      </c>
      <c r="G1089" s="9">
        <f t="shared" si="207"/>
        <v>4</v>
      </c>
      <c r="H1089" s="10"/>
      <c r="I1089" s="10"/>
      <c r="J1089" s="10"/>
      <c r="K1089" s="11">
        <f t="shared" si="208"/>
        <v>0</v>
      </c>
      <c r="L1089" s="11">
        <f t="shared" si="209"/>
        <v>0</v>
      </c>
      <c r="M1089" s="12" t="str">
        <f t="shared" si="210"/>
        <v/>
      </c>
      <c r="N1089" s="11">
        <f t="shared" si="211"/>
        <v>0</v>
      </c>
      <c r="O1089" s="12" t="str">
        <f t="shared" si="212"/>
        <v/>
      </c>
      <c r="P1089" s="12" t="str">
        <f t="shared" si="213"/>
        <v/>
      </c>
      <c r="Q1089" s="13" t="str">
        <f t="shared" si="205"/>
        <v/>
      </c>
      <c r="R1089" s="13" t="str">
        <f t="shared" si="206"/>
        <v/>
      </c>
    </row>
    <row r="1090" spans="1:18" ht="15.75" customHeight="1" x14ac:dyDescent="0.3">
      <c r="A1090" s="7" t="s">
        <v>288</v>
      </c>
      <c r="B1090" s="7" t="s">
        <v>33</v>
      </c>
      <c r="C1090" s="24" t="s">
        <v>34</v>
      </c>
      <c r="D1090" s="24" t="s">
        <v>35</v>
      </c>
      <c r="E1090" s="8">
        <v>46206</v>
      </c>
      <c r="F1090" s="8">
        <v>46209</v>
      </c>
      <c r="G1090" s="9">
        <f t="shared" si="207"/>
        <v>4</v>
      </c>
      <c r="H1090" s="10"/>
      <c r="I1090" s="10"/>
      <c r="J1090" s="10"/>
      <c r="K1090" s="11">
        <f t="shared" si="208"/>
        <v>0</v>
      </c>
      <c r="L1090" s="11">
        <f t="shared" si="209"/>
        <v>0</v>
      </c>
      <c r="M1090" s="12" t="str">
        <f t="shared" si="210"/>
        <v/>
      </c>
      <c r="N1090" s="11">
        <f t="shared" si="211"/>
        <v>0</v>
      </c>
      <c r="O1090" s="12" t="str">
        <f t="shared" si="212"/>
        <v/>
      </c>
      <c r="P1090" s="12" t="str">
        <f t="shared" si="213"/>
        <v/>
      </c>
      <c r="Q1090" s="13" t="str">
        <f t="shared" si="205"/>
        <v/>
      </c>
      <c r="R1090" s="13" t="str">
        <f t="shared" si="206"/>
        <v/>
      </c>
    </row>
    <row r="1091" spans="1:18" ht="15.75" customHeight="1" x14ac:dyDescent="0.3">
      <c r="A1091" s="7" t="s">
        <v>288</v>
      </c>
      <c r="B1091" s="7" t="s">
        <v>36</v>
      </c>
      <c r="C1091" s="24" t="s">
        <v>34</v>
      </c>
      <c r="D1091" s="24" t="s">
        <v>35</v>
      </c>
      <c r="E1091" s="8">
        <v>46206</v>
      </c>
      <c r="F1091" s="8">
        <v>46209</v>
      </c>
      <c r="G1091" s="9">
        <f t="shared" si="207"/>
        <v>4</v>
      </c>
      <c r="H1091" s="10"/>
      <c r="I1091" s="10"/>
      <c r="J1091" s="10"/>
      <c r="K1091" s="11">
        <f t="shared" si="208"/>
        <v>0</v>
      </c>
      <c r="L1091" s="11">
        <f t="shared" si="209"/>
        <v>0</v>
      </c>
      <c r="M1091" s="12" t="str">
        <f t="shared" si="210"/>
        <v/>
      </c>
      <c r="N1091" s="11">
        <f t="shared" si="211"/>
        <v>0</v>
      </c>
      <c r="O1091" s="12" t="str">
        <f t="shared" si="212"/>
        <v/>
      </c>
      <c r="P1091" s="12" t="str">
        <f t="shared" si="213"/>
        <v/>
      </c>
      <c r="Q1091" s="13" t="str">
        <f t="shared" si="205"/>
        <v/>
      </c>
      <c r="R1091" s="13" t="str">
        <f t="shared" si="206"/>
        <v/>
      </c>
    </row>
    <row r="1092" spans="1:18" ht="15.75" customHeight="1" x14ac:dyDescent="0.3">
      <c r="A1092" s="7" t="s">
        <v>288</v>
      </c>
      <c r="B1092" s="7" t="s">
        <v>282</v>
      </c>
      <c r="C1092" s="24" t="s">
        <v>34</v>
      </c>
      <c r="D1092" s="24" t="s">
        <v>35</v>
      </c>
      <c r="E1092" s="8">
        <v>46206</v>
      </c>
      <c r="F1092" s="8">
        <v>46209</v>
      </c>
      <c r="G1092" s="9">
        <f t="shared" si="207"/>
        <v>4</v>
      </c>
      <c r="H1092" s="10"/>
      <c r="I1092" s="10"/>
      <c r="J1092" s="10"/>
      <c r="K1092" s="11">
        <f t="shared" si="208"/>
        <v>0</v>
      </c>
      <c r="L1092" s="11">
        <f t="shared" si="209"/>
        <v>0</v>
      </c>
      <c r="M1092" s="12" t="str">
        <f t="shared" si="210"/>
        <v/>
      </c>
      <c r="N1092" s="11">
        <f t="shared" si="211"/>
        <v>0</v>
      </c>
      <c r="O1092" s="12" t="str">
        <f t="shared" si="212"/>
        <v/>
      </c>
      <c r="P1092" s="12" t="str">
        <f t="shared" si="213"/>
        <v/>
      </c>
      <c r="Q1092" s="13" t="str">
        <f t="shared" si="205"/>
        <v/>
      </c>
      <c r="R1092" s="13" t="str">
        <f t="shared" si="206"/>
        <v/>
      </c>
    </row>
    <row r="1093" spans="1:18" ht="15.75" customHeight="1" x14ac:dyDescent="0.3">
      <c r="A1093" s="7" t="s">
        <v>288</v>
      </c>
      <c r="B1093" s="7" t="s">
        <v>78</v>
      </c>
      <c r="C1093" s="24" t="s">
        <v>34</v>
      </c>
      <c r="D1093" s="24" t="s">
        <v>35</v>
      </c>
      <c r="E1093" s="8">
        <v>46206</v>
      </c>
      <c r="F1093" s="8">
        <v>46209</v>
      </c>
      <c r="G1093" s="9">
        <f t="shared" si="207"/>
        <v>4</v>
      </c>
      <c r="H1093" s="10"/>
      <c r="I1093" s="10"/>
      <c r="J1093" s="10"/>
      <c r="K1093" s="11">
        <f t="shared" si="208"/>
        <v>0</v>
      </c>
      <c r="L1093" s="11">
        <f t="shared" si="209"/>
        <v>0</v>
      </c>
      <c r="M1093" s="12" t="str">
        <f t="shared" si="210"/>
        <v/>
      </c>
      <c r="N1093" s="11">
        <f t="shared" si="211"/>
        <v>0</v>
      </c>
      <c r="O1093" s="12" t="str">
        <f t="shared" si="212"/>
        <v/>
      </c>
      <c r="P1093" s="12" t="str">
        <f t="shared" si="213"/>
        <v/>
      </c>
      <c r="Q1093" s="13" t="str">
        <f t="shared" si="205"/>
        <v/>
      </c>
      <c r="R1093" s="13" t="str">
        <f t="shared" si="206"/>
        <v/>
      </c>
    </row>
    <row r="1094" spans="1:18" ht="15.75" customHeight="1" x14ac:dyDescent="0.3">
      <c r="A1094" s="7" t="s">
        <v>288</v>
      </c>
      <c r="B1094" s="7" t="s">
        <v>242</v>
      </c>
      <c r="C1094" s="24" t="s">
        <v>34</v>
      </c>
      <c r="D1094" s="24" t="s">
        <v>35</v>
      </c>
      <c r="E1094" s="8">
        <v>46206</v>
      </c>
      <c r="F1094" s="8">
        <v>46209</v>
      </c>
      <c r="G1094" s="9">
        <f t="shared" si="207"/>
        <v>4</v>
      </c>
      <c r="H1094" s="10"/>
      <c r="I1094" s="10"/>
      <c r="J1094" s="10"/>
      <c r="K1094" s="11">
        <f t="shared" si="208"/>
        <v>0</v>
      </c>
      <c r="L1094" s="11">
        <f t="shared" si="209"/>
        <v>0</v>
      </c>
      <c r="M1094" s="12" t="str">
        <f t="shared" si="210"/>
        <v/>
      </c>
      <c r="N1094" s="11">
        <f t="shared" si="211"/>
        <v>0</v>
      </c>
      <c r="O1094" s="12" t="str">
        <f t="shared" si="212"/>
        <v/>
      </c>
      <c r="P1094" s="12" t="str">
        <f t="shared" si="213"/>
        <v/>
      </c>
      <c r="Q1094" s="13" t="str">
        <f t="shared" si="205"/>
        <v/>
      </c>
      <c r="R1094" s="13" t="str">
        <f t="shared" si="206"/>
        <v/>
      </c>
    </row>
    <row r="1095" spans="1:18" ht="15.75" customHeight="1" x14ac:dyDescent="0.3">
      <c r="A1095" s="7" t="s">
        <v>288</v>
      </c>
      <c r="B1095" s="7" t="s">
        <v>90</v>
      </c>
      <c r="C1095" s="24" t="s">
        <v>34</v>
      </c>
      <c r="D1095" s="24" t="s">
        <v>91</v>
      </c>
      <c r="E1095" s="8">
        <v>46206</v>
      </c>
      <c r="F1095" s="8">
        <v>46209</v>
      </c>
      <c r="G1095" s="9">
        <f t="shared" si="207"/>
        <v>4</v>
      </c>
      <c r="H1095" s="10"/>
      <c r="I1095" s="10"/>
      <c r="J1095" s="10"/>
      <c r="K1095" s="11">
        <f t="shared" si="208"/>
        <v>0</v>
      </c>
      <c r="L1095" s="11">
        <f t="shared" si="209"/>
        <v>0</v>
      </c>
      <c r="M1095" s="12" t="str">
        <f t="shared" si="210"/>
        <v/>
      </c>
      <c r="N1095" s="11">
        <f t="shared" si="211"/>
        <v>0</v>
      </c>
      <c r="O1095" s="12" t="str">
        <f t="shared" si="212"/>
        <v/>
      </c>
      <c r="P1095" s="12" t="str">
        <f t="shared" si="213"/>
        <v/>
      </c>
      <c r="Q1095" s="13" t="str">
        <f t="shared" si="205"/>
        <v/>
      </c>
      <c r="R1095" s="13" t="str">
        <f t="shared" si="206"/>
        <v/>
      </c>
    </row>
    <row r="1096" spans="1:18" ht="15.75" customHeight="1" x14ac:dyDescent="0.3">
      <c r="A1096" s="7" t="s">
        <v>288</v>
      </c>
      <c r="B1096" s="7" t="s">
        <v>283</v>
      </c>
      <c r="C1096" s="24" t="s">
        <v>34</v>
      </c>
      <c r="D1096" s="24" t="s">
        <v>91</v>
      </c>
      <c r="E1096" s="8">
        <v>46206</v>
      </c>
      <c r="F1096" s="8">
        <v>46209</v>
      </c>
      <c r="G1096" s="9">
        <f t="shared" si="207"/>
        <v>4</v>
      </c>
      <c r="H1096" s="10"/>
      <c r="I1096" s="10"/>
      <c r="J1096" s="10"/>
      <c r="K1096" s="11">
        <f t="shared" si="208"/>
        <v>0</v>
      </c>
      <c r="L1096" s="11">
        <f t="shared" si="209"/>
        <v>0</v>
      </c>
      <c r="M1096" s="12" t="str">
        <f t="shared" si="210"/>
        <v/>
      </c>
      <c r="N1096" s="11">
        <f t="shared" si="211"/>
        <v>0</v>
      </c>
      <c r="O1096" s="12" t="str">
        <f t="shared" si="212"/>
        <v/>
      </c>
      <c r="P1096" s="12" t="str">
        <f t="shared" si="213"/>
        <v/>
      </c>
      <c r="Q1096" s="13" t="str">
        <f t="shared" si="205"/>
        <v/>
      </c>
      <c r="R1096" s="13" t="str">
        <f t="shared" si="206"/>
        <v/>
      </c>
    </row>
    <row r="1097" spans="1:18" ht="15.75" customHeight="1" x14ac:dyDescent="0.3">
      <c r="A1097" s="7" t="s">
        <v>288</v>
      </c>
      <c r="B1097" s="7" t="s">
        <v>284</v>
      </c>
      <c r="C1097" s="24" t="s">
        <v>34</v>
      </c>
      <c r="D1097" s="24" t="s">
        <v>91</v>
      </c>
      <c r="E1097" s="8">
        <v>46206</v>
      </c>
      <c r="F1097" s="8">
        <v>46209</v>
      </c>
      <c r="G1097" s="9">
        <f t="shared" si="207"/>
        <v>4</v>
      </c>
      <c r="H1097" s="10"/>
      <c r="I1097" s="10"/>
      <c r="J1097" s="10"/>
      <c r="K1097" s="11">
        <f t="shared" si="208"/>
        <v>0</v>
      </c>
      <c r="L1097" s="11">
        <f t="shared" si="209"/>
        <v>0</v>
      </c>
      <c r="M1097" s="12" t="str">
        <f t="shared" si="210"/>
        <v/>
      </c>
      <c r="N1097" s="11">
        <f t="shared" si="211"/>
        <v>0</v>
      </c>
      <c r="O1097" s="12" t="str">
        <f t="shared" si="212"/>
        <v/>
      </c>
      <c r="P1097" s="12" t="str">
        <f t="shared" si="213"/>
        <v/>
      </c>
      <c r="Q1097" s="13" t="str">
        <f t="shared" si="205"/>
        <v/>
      </c>
      <c r="R1097" s="13" t="str">
        <f t="shared" si="206"/>
        <v/>
      </c>
    </row>
    <row r="1098" spans="1:18" ht="15.75" customHeight="1" x14ac:dyDescent="0.3">
      <c r="A1098" s="7" t="s">
        <v>288</v>
      </c>
      <c r="B1098" s="7" t="s">
        <v>41</v>
      </c>
      <c r="C1098" s="24" t="s">
        <v>34</v>
      </c>
      <c r="D1098" s="24" t="s">
        <v>39</v>
      </c>
      <c r="E1098" s="8">
        <v>46206</v>
      </c>
      <c r="F1098" s="8">
        <v>46209</v>
      </c>
      <c r="G1098" s="9">
        <f t="shared" si="207"/>
        <v>4</v>
      </c>
      <c r="H1098" s="10"/>
      <c r="I1098" s="10"/>
      <c r="J1098" s="10"/>
      <c r="K1098" s="11">
        <f t="shared" si="208"/>
        <v>0</v>
      </c>
      <c r="L1098" s="11">
        <f t="shared" si="209"/>
        <v>0</v>
      </c>
      <c r="M1098" s="12" t="str">
        <f t="shared" si="210"/>
        <v/>
      </c>
      <c r="N1098" s="11">
        <f t="shared" si="211"/>
        <v>0</v>
      </c>
      <c r="O1098" s="12" t="str">
        <f t="shared" si="212"/>
        <v/>
      </c>
      <c r="P1098" s="12" t="str">
        <f t="shared" si="213"/>
        <v/>
      </c>
      <c r="Q1098" s="13" t="str">
        <f t="shared" si="205"/>
        <v/>
      </c>
      <c r="R1098" s="13" t="str">
        <f t="shared" si="206"/>
        <v/>
      </c>
    </row>
    <row r="1099" spans="1:18" ht="15.75" customHeight="1" x14ac:dyDescent="0.3">
      <c r="A1099" s="7" t="s">
        <v>288</v>
      </c>
      <c r="B1099" s="7" t="s">
        <v>42</v>
      </c>
      <c r="C1099" s="24" t="s">
        <v>34</v>
      </c>
      <c r="D1099" s="24" t="s">
        <v>39</v>
      </c>
      <c r="E1099" s="8">
        <v>46206</v>
      </c>
      <c r="F1099" s="8">
        <v>46209</v>
      </c>
      <c r="G1099" s="9">
        <f t="shared" si="207"/>
        <v>4</v>
      </c>
      <c r="H1099" s="10"/>
      <c r="I1099" s="10"/>
      <c r="J1099" s="10"/>
      <c r="K1099" s="11">
        <f t="shared" si="208"/>
        <v>0</v>
      </c>
      <c r="L1099" s="11">
        <f t="shared" si="209"/>
        <v>0</v>
      </c>
      <c r="M1099" s="12" t="str">
        <f t="shared" si="210"/>
        <v/>
      </c>
      <c r="N1099" s="11">
        <f t="shared" si="211"/>
        <v>0</v>
      </c>
      <c r="O1099" s="12" t="str">
        <f t="shared" si="212"/>
        <v/>
      </c>
      <c r="P1099" s="12" t="str">
        <f t="shared" si="213"/>
        <v/>
      </c>
      <c r="Q1099" s="13" t="str">
        <f t="shared" si="205"/>
        <v/>
      </c>
      <c r="R1099" s="13" t="str">
        <f t="shared" si="206"/>
        <v/>
      </c>
    </row>
    <row r="1100" spans="1:18" ht="15.75" customHeight="1" x14ac:dyDescent="0.3">
      <c r="A1100" s="7" t="s">
        <v>288</v>
      </c>
      <c r="B1100" s="7" t="s">
        <v>45</v>
      </c>
      <c r="C1100" s="24" t="s">
        <v>34</v>
      </c>
      <c r="D1100" s="24" t="s">
        <v>44</v>
      </c>
      <c r="E1100" s="8">
        <v>46206</v>
      </c>
      <c r="F1100" s="8">
        <v>46209</v>
      </c>
      <c r="G1100" s="9">
        <f t="shared" si="207"/>
        <v>4</v>
      </c>
      <c r="H1100" s="10"/>
      <c r="I1100" s="10"/>
      <c r="J1100" s="10"/>
      <c r="K1100" s="11">
        <f t="shared" si="208"/>
        <v>0</v>
      </c>
      <c r="L1100" s="11">
        <f t="shared" si="209"/>
        <v>0</v>
      </c>
      <c r="M1100" s="12" t="str">
        <f t="shared" si="210"/>
        <v/>
      </c>
      <c r="N1100" s="11">
        <f t="shared" si="211"/>
        <v>0</v>
      </c>
      <c r="O1100" s="12" t="str">
        <f t="shared" si="212"/>
        <v/>
      </c>
      <c r="P1100" s="12" t="str">
        <f t="shared" si="213"/>
        <v/>
      </c>
      <c r="Q1100" s="13" t="str">
        <f t="shared" si="205"/>
        <v/>
      </c>
      <c r="R1100" s="13" t="str">
        <f t="shared" si="206"/>
        <v/>
      </c>
    </row>
    <row r="1101" spans="1:18" ht="15.75" customHeight="1" x14ac:dyDescent="0.3">
      <c r="A1101" s="7" t="s">
        <v>288</v>
      </c>
      <c r="B1101" s="7" t="s">
        <v>220</v>
      </c>
      <c r="C1101" s="24" t="s">
        <v>34</v>
      </c>
      <c r="D1101" s="24" t="s">
        <v>44</v>
      </c>
      <c r="E1101" s="8">
        <v>46206</v>
      </c>
      <c r="F1101" s="8">
        <v>46209</v>
      </c>
      <c r="G1101" s="9">
        <f t="shared" si="207"/>
        <v>4</v>
      </c>
      <c r="H1101" s="10"/>
      <c r="I1101" s="10"/>
      <c r="J1101" s="10"/>
      <c r="K1101" s="11">
        <f t="shared" si="208"/>
        <v>0</v>
      </c>
      <c r="L1101" s="11">
        <f t="shared" si="209"/>
        <v>0</v>
      </c>
      <c r="M1101" s="12" t="str">
        <f t="shared" si="210"/>
        <v/>
      </c>
      <c r="N1101" s="11">
        <f t="shared" si="211"/>
        <v>0</v>
      </c>
      <c r="O1101" s="12" t="str">
        <f t="shared" si="212"/>
        <v/>
      </c>
      <c r="P1101" s="12" t="str">
        <f t="shared" si="213"/>
        <v/>
      </c>
      <c r="Q1101" s="13" t="str">
        <f t="shared" si="205"/>
        <v/>
      </c>
      <c r="R1101" s="13" t="str">
        <f t="shared" si="206"/>
        <v/>
      </c>
    </row>
    <row r="1102" spans="1:18" ht="15.75" customHeight="1" x14ac:dyDescent="0.3">
      <c r="A1102" s="7" t="s">
        <v>288</v>
      </c>
      <c r="B1102" s="7" t="s">
        <v>43</v>
      </c>
      <c r="C1102" s="24" t="s">
        <v>34</v>
      </c>
      <c r="D1102" s="24" t="s">
        <v>44</v>
      </c>
      <c r="E1102" s="8">
        <v>46206</v>
      </c>
      <c r="F1102" s="8">
        <v>46209</v>
      </c>
      <c r="G1102" s="9">
        <f t="shared" si="207"/>
        <v>4</v>
      </c>
      <c r="H1102" s="10"/>
      <c r="I1102" s="10"/>
      <c r="J1102" s="10"/>
      <c r="K1102" s="11">
        <f t="shared" si="208"/>
        <v>0</v>
      </c>
      <c r="L1102" s="11">
        <f t="shared" si="209"/>
        <v>0</v>
      </c>
      <c r="M1102" s="12" t="str">
        <f t="shared" si="210"/>
        <v/>
      </c>
      <c r="N1102" s="11">
        <f t="shared" si="211"/>
        <v>0</v>
      </c>
      <c r="O1102" s="12" t="str">
        <f t="shared" si="212"/>
        <v/>
      </c>
      <c r="P1102" s="12" t="str">
        <f t="shared" si="213"/>
        <v/>
      </c>
      <c r="Q1102" s="13" t="str">
        <f t="shared" si="205"/>
        <v/>
      </c>
      <c r="R1102" s="13" t="str">
        <f t="shared" si="206"/>
        <v/>
      </c>
    </row>
    <row r="1103" spans="1:18" ht="15.75" customHeight="1" x14ac:dyDescent="0.3">
      <c r="A1103" s="7" t="s">
        <v>288</v>
      </c>
      <c r="B1103" s="7" t="s">
        <v>117</v>
      </c>
      <c r="C1103" s="24" t="s">
        <v>47</v>
      </c>
      <c r="D1103" s="24" t="s">
        <v>48</v>
      </c>
      <c r="E1103" s="8">
        <v>46206</v>
      </c>
      <c r="F1103" s="8">
        <v>46209</v>
      </c>
      <c r="G1103" s="9">
        <f t="shared" si="207"/>
        <v>4</v>
      </c>
      <c r="H1103" s="10"/>
      <c r="I1103" s="10"/>
      <c r="J1103" s="10"/>
      <c r="K1103" s="11">
        <f t="shared" si="208"/>
        <v>0</v>
      </c>
      <c r="L1103" s="11">
        <f t="shared" si="209"/>
        <v>0</v>
      </c>
      <c r="M1103" s="12" t="str">
        <f t="shared" si="210"/>
        <v/>
      </c>
      <c r="N1103" s="11">
        <f t="shared" si="211"/>
        <v>0</v>
      </c>
      <c r="O1103" s="12" t="str">
        <f t="shared" si="212"/>
        <v/>
      </c>
      <c r="P1103" s="12" t="str">
        <f t="shared" si="213"/>
        <v/>
      </c>
      <c r="Q1103" s="13" t="str">
        <f t="shared" si="205"/>
        <v/>
      </c>
      <c r="R1103" s="13" t="str">
        <f t="shared" si="206"/>
        <v/>
      </c>
    </row>
    <row r="1104" spans="1:18" ht="15.75" customHeight="1" x14ac:dyDescent="0.3">
      <c r="A1104" s="7" t="s">
        <v>288</v>
      </c>
      <c r="B1104" s="7" t="s">
        <v>118</v>
      </c>
      <c r="C1104" s="24" t="s">
        <v>47</v>
      </c>
      <c r="D1104" s="24" t="s">
        <v>48</v>
      </c>
      <c r="E1104" s="8">
        <v>46206</v>
      </c>
      <c r="F1104" s="8">
        <v>46209</v>
      </c>
      <c r="G1104" s="9">
        <f t="shared" si="207"/>
        <v>4</v>
      </c>
      <c r="H1104" s="10"/>
      <c r="I1104" s="10"/>
      <c r="J1104" s="10"/>
      <c r="K1104" s="11">
        <f t="shared" si="208"/>
        <v>0</v>
      </c>
      <c r="L1104" s="11">
        <f t="shared" si="209"/>
        <v>0</v>
      </c>
      <c r="M1104" s="12" t="str">
        <f t="shared" si="210"/>
        <v/>
      </c>
      <c r="N1104" s="11">
        <f t="shared" si="211"/>
        <v>0</v>
      </c>
      <c r="O1104" s="12" t="str">
        <f t="shared" si="212"/>
        <v/>
      </c>
      <c r="P1104" s="12" t="str">
        <f t="shared" si="213"/>
        <v/>
      </c>
      <c r="Q1104" s="13" t="str">
        <f t="shared" si="205"/>
        <v/>
      </c>
      <c r="R1104" s="13" t="str">
        <f t="shared" si="206"/>
        <v/>
      </c>
    </row>
    <row r="1105" spans="1:18" ht="15.75" customHeight="1" x14ac:dyDescent="0.3">
      <c r="A1105" s="7" t="s">
        <v>288</v>
      </c>
      <c r="B1105" s="7" t="s">
        <v>184</v>
      </c>
      <c r="C1105" s="24" t="s">
        <v>47</v>
      </c>
      <c r="D1105" s="24" t="s">
        <v>48</v>
      </c>
      <c r="E1105" s="8">
        <v>46206</v>
      </c>
      <c r="F1105" s="8">
        <v>46209</v>
      </c>
      <c r="G1105" s="9">
        <f t="shared" si="207"/>
        <v>4</v>
      </c>
      <c r="H1105" s="10"/>
      <c r="I1105" s="10"/>
      <c r="J1105" s="10"/>
      <c r="K1105" s="11">
        <f t="shared" si="208"/>
        <v>0</v>
      </c>
      <c r="L1105" s="11">
        <f t="shared" si="209"/>
        <v>0</v>
      </c>
      <c r="M1105" s="12" t="str">
        <f t="shared" si="210"/>
        <v/>
      </c>
      <c r="N1105" s="11">
        <f t="shared" si="211"/>
        <v>0</v>
      </c>
      <c r="O1105" s="12" t="str">
        <f t="shared" si="212"/>
        <v/>
      </c>
      <c r="P1105" s="12" t="str">
        <f t="shared" si="213"/>
        <v/>
      </c>
      <c r="Q1105" s="13" t="str">
        <f t="shared" si="205"/>
        <v/>
      </c>
      <c r="R1105" s="13" t="str">
        <f t="shared" si="206"/>
        <v/>
      </c>
    </row>
    <row r="1106" spans="1:18" ht="15.75" customHeight="1" x14ac:dyDescent="0.3">
      <c r="A1106" s="7" t="s">
        <v>288</v>
      </c>
      <c r="B1106" s="7" t="s">
        <v>185</v>
      </c>
      <c r="C1106" s="24" t="s">
        <v>47</v>
      </c>
      <c r="D1106" s="24" t="s">
        <v>48</v>
      </c>
      <c r="E1106" s="8">
        <v>46206</v>
      </c>
      <c r="F1106" s="8">
        <v>46209</v>
      </c>
      <c r="G1106" s="9">
        <f t="shared" si="207"/>
        <v>4</v>
      </c>
      <c r="H1106" s="10"/>
      <c r="I1106" s="10"/>
      <c r="J1106" s="10"/>
      <c r="K1106" s="11">
        <f t="shared" si="208"/>
        <v>0</v>
      </c>
      <c r="L1106" s="11">
        <f t="shared" si="209"/>
        <v>0</v>
      </c>
      <c r="M1106" s="12" t="str">
        <f t="shared" si="210"/>
        <v/>
      </c>
      <c r="N1106" s="11">
        <f t="shared" si="211"/>
        <v>0</v>
      </c>
      <c r="O1106" s="12" t="str">
        <f t="shared" si="212"/>
        <v/>
      </c>
      <c r="P1106" s="12" t="str">
        <f t="shared" si="213"/>
        <v/>
      </c>
      <c r="Q1106" s="13" t="str">
        <f t="shared" si="205"/>
        <v/>
      </c>
      <c r="R1106" s="13" t="str">
        <f t="shared" si="206"/>
        <v/>
      </c>
    </row>
    <row r="1107" spans="1:18" ht="15.75" customHeight="1" x14ac:dyDescent="0.3">
      <c r="A1107" s="7" t="s">
        <v>288</v>
      </c>
      <c r="B1107" s="7" t="s">
        <v>285</v>
      </c>
      <c r="C1107" s="24" t="s">
        <v>47</v>
      </c>
      <c r="D1107" s="24" t="s">
        <v>48</v>
      </c>
      <c r="E1107" s="8">
        <v>46206</v>
      </c>
      <c r="F1107" s="8">
        <v>46209</v>
      </c>
      <c r="G1107" s="9">
        <f t="shared" si="207"/>
        <v>4</v>
      </c>
      <c r="H1107" s="10"/>
      <c r="I1107" s="10"/>
      <c r="J1107" s="10"/>
      <c r="K1107" s="11">
        <f t="shared" si="208"/>
        <v>0</v>
      </c>
      <c r="L1107" s="11">
        <f t="shared" si="209"/>
        <v>0</v>
      </c>
      <c r="M1107" s="12" t="str">
        <f t="shared" si="210"/>
        <v/>
      </c>
      <c r="N1107" s="11">
        <f t="shared" si="211"/>
        <v>0</v>
      </c>
      <c r="O1107" s="12" t="str">
        <f t="shared" si="212"/>
        <v/>
      </c>
      <c r="P1107" s="12" t="str">
        <f t="shared" si="213"/>
        <v/>
      </c>
      <c r="Q1107" s="13" t="str">
        <f t="shared" si="205"/>
        <v/>
      </c>
      <c r="R1107" s="13" t="str">
        <f t="shared" si="206"/>
        <v/>
      </c>
    </row>
    <row r="1108" spans="1:18" ht="15.75" customHeight="1" x14ac:dyDescent="0.3">
      <c r="A1108" s="7" t="s">
        <v>288</v>
      </c>
      <c r="B1108" s="7" t="s">
        <v>286</v>
      </c>
      <c r="C1108" s="24" t="s">
        <v>47</v>
      </c>
      <c r="D1108" s="24" t="s">
        <v>48</v>
      </c>
      <c r="E1108" s="8">
        <v>46206</v>
      </c>
      <c r="F1108" s="8">
        <v>46209</v>
      </c>
      <c r="G1108" s="9">
        <f t="shared" si="207"/>
        <v>4</v>
      </c>
      <c r="H1108" s="10"/>
      <c r="I1108" s="10"/>
      <c r="J1108" s="10"/>
      <c r="K1108" s="11">
        <f t="shared" si="208"/>
        <v>0</v>
      </c>
      <c r="L1108" s="11">
        <f t="shared" si="209"/>
        <v>0</v>
      </c>
      <c r="M1108" s="12" t="str">
        <f t="shared" si="210"/>
        <v/>
      </c>
      <c r="N1108" s="11">
        <f t="shared" si="211"/>
        <v>0</v>
      </c>
      <c r="O1108" s="12" t="str">
        <f t="shared" si="212"/>
        <v/>
      </c>
      <c r="P1108" s="12" t="str">
        <f t="shared" si="213"/>
        <v/>
      </c>
      <c r="Q1108" s="13" t="str">
        <f t="shared" si="205"/>
        <v/>
      </c>
      <c r="R1108" s="13" t="str">
        <f t="shared" si="206"/>
        <v/>
      </c>
    </row>
    <row r="1109" spans="1:18" ht="15.75" customHeight="1" x14ac:dyDescent="0.3">
      <c r="A1109" s="7" t="s">
        <v>288</v>
      </c>
      <c r="B1109" s="7" t="s">
        <v>98</v>
      </c>
      <c r="C1109" s="24" t="s">
        <v>47</v>
      </c>
      <c r="D1109" s="24" t="s">
        <v>53</v>
      </c>
      <c r="E1109" s="8">
        <v>46206</v>
      </c>
      <c r="F1109" s="8">
        <v>46209</v>
      </c>
      <c r="G1109" s="9">
        <f t="shared" si="207"/>
        <v>4</v>
      </c>
      <c r="H1109" s="10"/>
      <c r="I1109" s="10"/>
      <c r="J1109" s="10"/>
      <c r="K1109" s="11">
        <f t="shared" si="208"/>
        <v>0</v>
      </c>
      <c r="L1109" s="11">
        <f t="shared" si="209"/>
        <v>0</v>
      </c>
      <c r="M1109" s="12" t="str">
        <f t="shared" si="210"/>
        <v/>
      </c>
      <c r="N1109" s="11">
        <f t="shared" si="211"/>
        <v>0</v>
      </c>
      <c r="O1109" s="12" t="str">
        <f t="shared" si="212"/>
        <v/>
      </c>
      <c r="P1109" s="12" t="str">
        <f t="shared" si="213"/>
        <v/>
      </c>
      <c r="Q1109" s="13" t="str">
        <f t="shared" si="205"/>
        <v/>
      </c>
      <c r="R1109" s="13" t="str">
        <f t="shared" si="206"/>
        <v/>
      </c>
    </row>
    <row r="1110" spans="1:18" ht="15.75" customHeight="1" x14ac:dyDescent="0.3">
      <c r="A1110" s="7" t="s">
        <v>288</v>
      </c>
      <c r="B1110" s="7" t="s">
        <v>279</v>
      </c>
      <c r="C1110" s="24" t="s">
        <v>47</v>
      </c>
      <c r="D1110" s="24" t="s">
        <v>433</v>
      </c>
      <c r="E1110" s="8">
        <v>46206</v>
      </c>
      <c r="F1110" s="8">
        <v>46209</v>
      </c>
      <c r="G1110" s="9">
        <f t="shared" si="207"/>
        <v>4</v>
      </c>
      <c r="H1110" s="10"/>
      <c r="I1110" s="10"/>
      <c r="J1110" s="10"/>
      <c r="K1110" s="11">
        <f t="shared" si="208"/>
        <v>0</v>
      </c>
      <c r="L1110" s="11">
        <f t="shared" si="209"/>
        <v>0</v>
      </c>
      <c r="M1110" s="12" t="str">
        <f t="shared" si="210"/>
        <v/>
      </c>
      <c r="N1110" s="11">
        <f t="shared" si="211"/>
        <v>0</v>
      </c>
      <c r="O1110" s="12" t="str">
        <f t="shared" si="212"/>
        <v/>
      </c>
      <c r="P1110" s="12" t="str">
        <f t="shared" si="213"/>
        <v/>
      </c>
      <c r="Q1110" s="13" t="str">
        <f t="shared" si="205"/>
        <v/>
      </c>
      <c r="R1110" s="13" t="str">
        <f t="shared" si="206"/>
        <v/>
      </c>
    </row>
    <row r="1111" spans="1:18" ht="15.75" customHeight="1" x14ac:dyDescent="0.3">
      <c r="A1111" s="7" t="s">
        <v>288</v>
      </c>
      <c r="B1111" s="7" t="s">
        <v>280</v>
      </c>
      <c r="C1111" s="24" t="s">
        <v>47</v>
      </c>
      <c r="D1111" s="24" t="s">
        <v>433</v>
      </c>
      <c r="E1111" s="8">
        <v>46206</v>
      </c>
      <c r="F1111" s="8">
        <v>46209</v>
      </c>
      <c r="G1111" s="9">
        <f t="shared" si="207"/>
        <v>4</v>
      </c>
      <c r="H1111" s="10"/>
      <c r="I1111" s="10"/>
      <c r="J1111" s="10"/>
      <c r="K1111" s="11">
        <f t="shared" si="208"/>
        <v>0</v>
      </c>
      <c r="L1111" s="11">
        <f t="shared" si="209"/>
        <v>0</v>
      </c>
      <c r="M1111" s="12" t="str">
        <f t="shared" si="210"/>
        <v/>
      </c>
      <c r="N1111" s="11">
        <f t="shared" si="211"/>
        <v>0</v>
      </c>
      <c r="O1111" s="12" t="str">
        <f t="shared" si="212"/>
        <v/>
      </c>
      <c r="P1111" s="12" t="str">
        <f t="shared" si="213"/>
        <v/>
      </c>
      <c r="Q1111" s="13" t="str">
        <f t="shared" si="205"/>
        <v/>
      </c>
      <c r="R1111" s="13" t="str">
        <f t="shared" si="206"/>
        <v/>
      </c>
    </row>
    <row r="1112" spans="1:18" ht="15.75" customHeight="1" x14ac:dyDescent="0.3">
      <c r="A1112" s="7" t="s">
        <v>288</v>
      </c>
      <c r="B1112" s="7" t="s">
        <v>216</v>
      </c>
      <c r="C1112" s="24" t="s">
        <v>47</v>
      </c>
      <c r="D1112" s="24" t="s">
        <v>53</v>
      </c>
      <c r="E1112" s="8">
        <v>46206</v>
      </c>
      <c r="F1112" s="8">
        <v>46209</v>
      </c>
      <c r="G1112" s="9">
        <f t="shared" si="207"/>
        <v>4</v>
      </c>
      <c r="H1112" s="10"/>
      <c r="I1112" s="10"/>
      <c r="J1112" s="10"/>
      <c r="K1112" s="11">
        <f t="shared" si="208"/>
        <v>0</v>
      </c>
      <c r="L1112" s="11">
        <f t="shared" si="209"/>
        <v>0</v>
      </c>
      <c r="M1112" s="12" t="str">
        <f t="shared" si="210"/>
        <v/>
      </c>
      <c r="N1112" s="11">
        <f t="shared" si="211"/>
        <v>0</v>
      </c>
      <c r="O1112" s="12" t="str">
        <f t="shared" si="212"/>
        <v/>
      </c>
      <c r="P1112" s="12" t="str">
        <f t="shared" si="213"/>
        <v/>
      </c>
      <c r="Q1112" s="13" t="str">
        <f t="shared" si="205"/>
        <v/>
      </c>
      <c r="R1112" s="13" t="str">
        <f t="shared" si="206"/>
        <v/>
      </c>
    </row>
    <row r="1113" spans="1:18" ht="15.75" customHeight="1" x14ac:dyDescent="0.3">
      <c r="A1113" s="7" t="s">
        <v>288</v>
      </c>
      <c r="B1113" s="7" t="s">
        <v>100</v>
      </c>
      <c r="C1113" s="24" t="s">
        <v>47</v>
      </c>
      <c r="D1113" s="24" t="s">
        <v>56</v>
      </c>
      <c r="E1113" s="8">
        <v>46206</v>
      </c>
      <c r="F1113" s="8">
        <v>46209</v>
      </c>
      <c r="G1113" s="9">
        <f t="shared" si="207"/>
        <v>4</v>
      </c>
      <c r="H1113" s="10"/>
      <c r="I1113" s="10"/>
      <c r="J1113" s="10"/>
      <c r="K1113" s="11">
        <f t="shared" si="208"/>
        <v>0</v>
      </c>
      <c r="L1113" s="11">
        <f t="shared" si="209"/>
        <v>0</v>
      </c>
      <c r="M1113" s="12" t="str">
        <f t="shared" si="210"/>
        <v/>
      </c>
      <c r="N1113" s="11">
        <f t="shared" si="211"/>
        <v>0</v>
      </c>
      <c r="O1113" s="12" t="str">
        <f t="shared" si="212"/>
        <v/>
      </c>
      <c r="P1113" s="12" t="str">
        <f t="shared" si="213"/>
        <v/>
      </c>
      <c r="Q1113" s="13" t="str">
        <f t="shared" si="205"/>
        <v/>
      </c>
      <c r="R1113" s="13" t="str">
        <f t="shared" si="206"/>
        <v/>
      </c>
    </row>
    <row r="1114" spans="1:18" ht="15.75" customHeight="1" x14ac:dyDescent="0.3">
      <c r="A1114" s="7" t="s">
        <v>288</v>
      </c>
      <c r="B1114" s="7" t="s">
        <v>99</v>
      </c>
      <c r="C1114" s="24" t="s">
        <v>47</v>
      </c>
      <c r="D1114" s="24" t="s">
        <v>56</v>
      </c>
      <c r="E1114" s="8">
        <v>46206</v>
      </c>
      <c r="F1114" s="8">
        <v>46209</v>
      </c>
      <c r="G1114" s="9">
        <f t="shared" si="207"/>
        <v>4</v>
      </c>
      <c r="H1114" s="10"/>
      <c r="I1114" s="10"/>
      <c r="J1114" s="10"/>
      <c r="K1114" s="11">
        <f t="shared" si="208"/>
        <v>0</v>
      </c>
      <c r="L1114" s="11">
        <f t="shared" si="209"/>
        <v>0</v>
      </c>
      <c r="M1114" s="12" t="str">
        <f t="shared" si="210"/>
        <v/>
      </c>
      <c r="N1114" s="11">
        <f t="shared" si="211"/>
        <v>0</v>
      </c>
      <c r="O1114" s="12" t="str">
        <f t="shared" si="212"/>
        <v/>
      </c>
      <c r="P1114" s="12" t="str">
        <f t="shared" si="213"/>
        <v/>
      </c>
      <c r="Q1114" s="13" t="str">
        <f t="shared" si="205"/>
        <v/>
      </c>
      <c r="R1114" s="13" t="str">
        <f t="shared" si="206"/>
        <v/>
      </c>
    </row>
    <row r="1115" spans="1:18" ht="15.75" customHeight="1" x14ac:dyDescent="0.3">
      <c r="A1115" s="7" t="s">
        <v>288</v>
      </c>
      <c r="B1115" s="7" t="s">
        <v>176</v>
      </c>
      <c r="C1115" s="24" t="s">
        <v>58</v>
      </c>
      <c r="D1115" s="24" t="s">
        <v>61</v>
      </c>
      <c r="E1115" s="8">
        <v>46206</v>
      </c>
      <c r="F1115" s="8">
        <v>46209</v>
      </c>
      <c r="G1115" s="9">
        <f t="shared" si="207"/>
        <v>4</v>
      </c>
      <c r="H1115" s="10"/>
      <c r="I1115" s="10"/>
      <c r="J1115" s="10"/>
      <c r="K1115" s="11">
        <f t="shared" si="208"/>
        <v>0</v>
      </c>
      <c r="L1115" s="11">
        <f t="shared" si="209"/>
        <v>0</v>
      </c>
      <c r="M1115" s="12" t="str">
        <f t="shared" si="210"/>
        <v/>
      </c>
      <c r="N1115" s="11">
        <f t="shared" si="211"/>
        <v>0</v>
      </c>
      <c r="O1115" s="12" t="str">
        <f t="shared" si="212"/>
        <v/>
      </c>
      <c r="P1115" s="12" t="str">
        <f t="shared" si="213"/>
        <v/>
      </c>
      <c r="Q1115" s="13" t="str">
        <f t="shared" si="205"/>
        <v/>
      </c>
      <c r="R1115" s="13" t="str">
        <f t="shared" si="206"/>
        <v/>
      </c>
    </row>
    <row r="1116" spans="1:18" ht="15.75" customHeight="1" x14ac:dyDescent="0.3">
      <c r="A1116" s="7" t="s">
        <v>288</v>
      </c>
      <c r="B1116" s="7" t="s">
        <v>177</v>
      </c>
      <c r="C1116" s="24" t="s">
        <v>58</v>
      </c>
      <c r="D1116" s="24" t="s">
        <v>61</v>
      </c>
      <c r="E1116" s="8">
        <v>46206</v>
      </c>
      <c r="F1116" s="8">
        <v>46209</v>
      </c>
      <c r="G1116" s="9">
        <f t="shared" si="207"/>
        <v>4</v>
      </c>
      <c r="H1116" s="10"/>
      <c r="I1116" s="10"/>
      <c r="J1116" s="10"/>
      <c r="K1116" s="11">
        <f t="shared" si="208"/>
        <v>0</v>
      </c>
      <c r="L1116" s="11">
        <f t="shared" si="209"/>
        <v>0</v>
      </c>
      <c r="M1116" s="12" t="str">
        <f t="shared" si="210"/>
        <v/>
      </c>
      <c r="N1116" s="11">
        <f t="shared" si="211"/>
        <v>0</v>
      </c>
      <c r="O1116" s="12" t="str">
        <f t="shared" si="212"/>
        <v/>
      </c>
      <c r="P1116" s="12" t="str">
        <f t="shared" si="213"/>
        <v/>
      </c>
      <c r="Q1116" s="13" t="str">
        <f t="shared" si="205"/>
        <v/>
      </c>
      <c r="R1116" s="13" t="str">
        <f t="shared" si="206"/>
        <v/>
      </c>
    </row>
    <row r="1117" spans="1:18" ht="15.75" customHeight="1" x14ac:dyDescent="0.3">
      <c r="A1117" s="7" t="s">
        <v>288</v>
      </c>
      <c r="B1117" s="7" t="s">
        <v>60</v>
      </c>
      <c r="C1117" s="24" t="s">
        <v>58</v>
      </c>
      <c r="D1117" s="24" t="s">
        <v>61</v>
      </c>
      <c r="E1117" s="8">
        <v>46206</v>
      </c>
      <c r="F1117" s="8">
        <v>46209</v>
      </c>
      <c r="G1117" s="9">
        <f t="shared" si="207"/>
        <v>4</v>
      </c>
      <c r="H1117" s="10"/>
      <c r="I1117" s="10"/>
      <c r="J1117" s="10"/>
      <c r="K1117" s="11">
        <f t="shared" si="208"/>
        <v>0</v>
      </c>
      <c r="L1117" s="11">
        <f t="shared" si="209"/>
        <v>0</v>
      </c>
      <c r="M1117" s="12" t="str">
        <f t="shared" si="210"/>
        <v/>
      </c>
      <c r="N1117" s="11">
        <f t="shared" si="211"/>
        <v>0</v>
      </c>
      <c r="O1117" s="12" t="str">
        <f t="shared" si="212"/>
        <v/>
      </c>
      <c r="P1117" s="12" t="str">
        <f t="shared" si="213"/>
        <v/>
      </c>
      <c r="Q1117" s="13" t="str">
        <f t="shared" si="205"/>
        <v/>
      </c>
      <c r="R1117" s="13" t="str">
        <f t="shared" si="206"/>
        <v/>
      </c>
    </row>
    <row r="1118" spans="1:18" ht="15.75" customHeight="1" x14ac:dyDescent="0.3">
      <c r="A1118" s="7" t="s">
        <v>288</v>
      </c>
      <c r="B1118" s="7" t="s">
        <v>235</v>
      </c>
      <c r="C1118" s="24" t="s">
        <v>58</v>
      </c>
      <c r="D1118" s="24" t="s">
        <v>107</v>
      </c>
      <c r="E1118" s="8">
        <v>46206</v>
      </c>
      <c r="F1118" s="8">
        <v>46209</v>
      </c>
      <c r="G1118" s="9">
        <f t="shared" si="207"/>
        <v>4</v>
      </c>
      <c r="H1118" s="10"/>
      <c r="I1118" s="10"/>
      <c r="J1118" s="10"/>
      <c r="K1118" s="11">
        <f t="shared" si="208"/>
        <v>0</v>
      </c>
      <c r="L1118" s="11">
        <f t="shared" si="209"/>
        <v>0</v>
      </c>
      <c r="M1118" s="12" t="str">
        <f t="shared" si="210"/>
        <v/>
      </c>
      <c r="N1118" s="11">
        <f t="shared" si="211"/>
        <v>0</v>
      </c>
      <c r="O1118" s="12" t="str">
        <f t="shared" si="212"/>
        <v/>
      </c>
      <c r="P1118" s="12" t="str">
        <f t="shared" si="213"/>
        <v/>
      </c>
      <c r="Q1118" s="13" t="str">
        <f t="shared" si="205"/>
        <v/>
      </c>
      <c r="R1118" s="13" t="str">
        <f t="shared" si="206"/>
        <v/>
      </c>
    </row>
    <row r="1119" spans="1:18" ht="15.75" customHeight="1" x14ac:dyDescent="0.3">
      <c r="A1119" s="7" t="s">
        <v>288</v>
      </c>
      <c r="B1119" s="7" t="s">
        <v>194</v>
      </c>
      <c r="C1119" s="24" t="s">
        <v>58</v>
      </c>
      <c r="D1119" s="24" t="s">
        <v>103</v>
      </c>
      <c r="E1119" s="8">
        <v>46206</v>
      </c>
      <c r="F1119" s="8">
        <v>46209</v>
      </c>
      <c r="G1119" s="9">
        <f t="shared" si="207"/>
        <v>4</v>
      </c>
      <c r="H1119" s="10"/>
      <c r="I1119" s="10"/>
      <c r="J1119" s="10"/>
      <c r="K1119" s="11">
        <f t="shared" si="208"/>
        <v>0</v>
      </c>
      <c r="L1119" s="11">
        <f t="shared" si="209"/>
        <v>0</v>
      </c>
      <c r="M1119" s="12" t="str">
        <f t="shared" si="210"/>
        <v/>
      </c>
      <c r="N1119" s="11">
        <f t="shared" si="211"/>
        <v>0</v>
      </c>
      <c r="O1119" s="12" t="str">
        <f t="shared" si="212"/>
        <v/>
      </c>
      <c r="P1119" s="12" t="str">
        <f t="shared" si="213"/>
        <v/>
      </c>
      <c r="Q1119" s="13" t="str">
        <f t="shared" si="205"/>
        <v/>
      </c>
      <c r="R1119" s="13" t="str">
        <f t="shared" si="206"/>
        <v/>
      </c>
    </row>
    <row r="1120" spans="1:18" ht="15.75" customHeight="1" x14ac:dyDescent="0.3">
      <c r="A1120" s="7" t="s">
        <v>288</v>
      </c>
      <c r="B1120" s="7" t="s">
        <v>243</v>
      </c>
      <c r="C1120" s="24" t="s">
        <v>58</v>
      </c>
      <c r="D1120" s="24" t="s">
        <v>193</v>
      </c>
      <c r="E1120" s="8">
        <v>46206</v>
      </c>
      <c r="F1120" s="8">
        <v>46209</v>
      </c>
      <c r="G1120" s="9">
        <f t="shared" si="207"/>
        <v>4</v>
      </c>
      <c r="H1120" s="10"/>
      <c r="I1120" s="10"/>
      <c r="J1120" s="10"/>
      <c r="K1120" s="11">
        <f t="shared" si="208"/>
        <v>0</v>
      </c>
      <c r="L1120" s="11">
        <f t="shared" si="209"/>
        <v>0</v>
      </c>
      <c r="M1120" s="12" t="str">
        <f t="shared" si="210"/>
        <v/>
      </c>
      <c r="N1120" s="11">
        <f t="shared" si="211"/>
        <v>0</v>
      </c>
      <c r="O1120" s="12" t="str">
        <f t="shared" si="212"/>
        <v/>
      </c>
      <c r="P1120" s="12" t="str">
        <f t="shared" si="213"/>
        <v/>
      </c>
      <c r="Q1120" s="13" t="str">
        <f t="shared" si="205"/>
        <v/>
      </c>
      <c r="R1120" s="13" t="str">
        <f t="shared" si="206"/>
        <v/>
      </c>
    </row>
    <row r="1121" spans="1:18" ht="15.75" customHeight="1" x14ac:dyDescent="0.3">
      <c r="A1121" s="7" t="s">
        <v>288</v>
      </c>
      <c r="B1121" s="7" t="s">
        <v>104</v>
      </c>
      <c r="C1121" s="24" t="s">
        <v>58</v>
      </c>
      <c r="D1121" s="24" t="s">
        <v>61</v>
      </c>
      <c r="E1121" s="8">
        <v>46206</v>
      </c>
      <c r="F1121" s="8">
        <v>46209</v>
      </c>
      <c r="G1121" s="9">
        <f t="shared" si="207"/>
        <v>4</v>
      </c>
      <c r="H1121" s="10"/>
      <c r="I1121" s="10"/>
      <c r="J1121" s="10"/>
      <c r="K1121" s="11">
        <f t="shared" si="208"/>
        <v>0</v>
      </c>
      <c r="L1121" s="11">
        <f t="shared" si="209"/>
        <v>0</v>
      </c>
      <c r="M1121" s="12" t="str">
        <f t="shared" si="210"/>
        <v/>
      </c>
      <c r="N1121" s="11">
        <f t="shared" si="211"/>
        <v>0</v>
      </c>
      <c r="O1121" s="12" t="str">
        <f t="shared" si="212"/>
        <v/>
      </c>
      <c r="P1121" s="12" t="str">
        <f t="shared" si="213"/>
        <v/>
      </c>
      <c r="Q1121" s="13" t="str">
        <f t="shared" si="205"/>
        <v/>
      </c>
      <c r="R1121" s="13" t="str">
        <f t="shared" si="206"/>
        <v/>
      </c>
    </row>
    <row r="1122" spans="1:18" ht="15.75" customHeight="1" x14ac:dyDescent="0.3">
      <c r="A1122" s="7" t="s">
        <v>288</v>
      </c>
      <c r="B1122" s="7" t="s">
        <v>208</v>
      </c>
      <c r="C1122" s="24" t="s">
        <v>58</v>
      </c>
      <c r="D1122" s="24" t="s">
        <v>107</v>
      </c>
      <c r="E1122" s="8">
        <v>46206</v>
      </c>
      <c r="F1122" s="8">
        <v>46209</v>
      </c>
      <c r="G1122" s="9">
        <f t="shared" si="207"/>
        <v>4</v>
      </c>
      <c r="H1122" s="10"/>
      <c r="I1122" s="10"/>
      <c r="J1122" s="10"/>
      <c r="K1122" s="11">
        <f t="shared" si="208"/>
        <v>0</v>
      </c>
      <c r="L1122" s="11">
        <f t="shared" si="209"/>
        <v>0</v>
      </c>
      <c r="M1122" s="12" t="str">
        <f t="shared" si="210"/>
        <v/>
      </c>
      <c r="N1122" s="11">
        <f t="shared" si="211"/>
        <v>0</v>
      </c>
      <c r="O1122" s="12" t="str">
        <f t="shared" si="212"/>
        <v/>
      </c>
      <c r="P1122" s="12" t="str">
        <f t="shared" si="213"/>
        <v/>
      </c>
      <c r="Q1122" s="13" t="str">
        <f t="shared" si="205"/>
        <v/>
      </c>
      <c r="R1122" s="13" t="str">
        <f t="shared" si="206"/>
        <v/>
      </c>
    </row>
    <row r="1123" spans="1:18" ht="15.75" customHeight="1" x14ac:dyDescent="0.3">
      <c r="A1123" s="7" t="s">
        <v>288</v>
      </c>
      <c r="B1123" s="7" t="s">
        <v>108</v>
      </c>
      <c r="C1123" s="24" t="s">
        <v>58</v>
      </c>
      <c r="D1123" s="24" t="s">
        <v>66</v>
      </c>
      <c r="E1123" s="8">
        <v>46206</v>
      </c>
      <c r="F1123" s="8">
        <v>46209</v>
      </c>
      <c r="G1123" s="9">
        <f t="shared" si="207"/>
        <v>4</v>
      </c>
      <c r="H1123" s="10"/>
      <c r="I1123" s="10"/>
      <c r="J1123" s="10"/>
      <c r="K1123" s="11">
        <f t="shared" si="208"/>
        <v>0</v>
      </c>
      <c r="L1123" s="11">
        <f t="shared" si="209"/>
        <v>0</v>
      </c>
      <c r="M1123" s="12" t="str">
        <f t="shared" si="210"/>
        <v/>
      </c>
      <c r="N1123" s="11">
        <f t="shared" si="211"/>
        <v>0</v>
      </c>
      <c r="O1123" s="12" t="str">
        <f t="shared" si="212"/>
        <v/>
      </c>
      <c r="P1123" s="12" t="str">
        <f t="shared" si="213"/>
        <v/>
      </c>
      <c r="Q1123" s="13" t="str">
        <f t="shared" si="205"/>
        <v/>
      </c>
      <c r="R1123" s="13" t="str">
        <f t="shared" si="206"/>
        <v/>
      </c>
    </row>
    <row r="1124" spans="1:18" ht="15.75" customHeight="1" x14ac:dyDescent="0.3">
      <c r="A1124" s="7" t="s">
        <v>288</v>
      </c>
      <c r="B1124" s="7" t="s">
        <v>109</v>
      </c>
      <c r="C1124" s="24" t="s">
        <v>58</v>
      </c>
      <c r="D1124" s="24" t="s">
        <v>68</v>
      </c>
      <c r="E1124" s="8">
        <v>46206</v>
      </c>
      <c r="F1124" s="8">
        <v>46209</v>
      </c>
      <c r="G1124" s="9">
        <f t="shared" si="207"/>
        <v>4</v>
      </c>
      <c r="H1124" s="10"/>
      <c r="I1124" s="10"/>
      <c r="J1124" s="10"/>
      <c r="K1124" s="11">
        <f t="shared" si="208"/>
        <v>0</v>
      </c>
      <c r="L1124" s="11">
        <f t="shared" si="209"/>
        <v>0</v>
      </c>
      <c r="M1124" s="12" t="str">
        <f t="shared" si="210"/>
        <v/>
      </c>
      <c r="N1124" s="11">
        <f t="shared" si="211"/>
        <v>0</v>
      </c>
      <c r="O1124" s="12" t="str">
        <f t="shared" si="212"/>
        <v/>
      </c>
      <c r="P1124" s="12" t="str">
        <f t="shared" si="213"/>
        <v/>
      </c>
      <c r="Q1124" s="13" t="str">
        <f t="shared" si="205"/>
        <v/>
      </c>
      <c r="R1124" s="13" t="str">
        <f t="shared" si="206"/>
        <v/>
      </c>
    </row>
    <row r="1125" spans="1:18" ht="15.75" customHeight="1" x14ac:dyDescent="0.3">
      <c r="A1125" s="7" t="s">
        <v>288</v>
      </c>
      <c r="B1125" s="7" t="s">
        <v>71</v>
      </c>
      <c r="C1125" s="24" t="s">
        <v>58</v>
      </c>
      <c r="D1125" s="24" t="s">
        <v>66</v>
      </c>
      <c r="E1125" s="8">
        <v>46206</v>
      </c>
      <c r="F1125" s="8">
        <v>46209</v>
      </c>
      <c r="G1125" s="9">
        <f t="shared" si="207"/>
        <v>4</v>
      </c>
      <c r="H1125" s="10"/>
      <c r="I1125" s="10"/>
      <c r="J1125" s="10"/>
      <c r="K1125" s="11">
        <f t="shared" si="208"/>
        <v>0</v>
      </c>
      <c r="L1125" s="11">
        <f t="shared" si="209"/>
        <v>0</v>
      </c>
      <c r="M1125" s="12" t="str">
        <f t="shared" si="210"/>
        <v/>
      </c>
      <c r="N1125" s="11">
        <f t="shared" si="211"/>
        <v>0</v>
      </c>
      <c r="O1125" s="12" t="str">
        <f t="shared" si="212"/>
        <v/>
      </c>
      <c r="P1125" s="12" t="str">
        <f t="shared" si="213"/>
        <v/>
      </c>
      <c r="Q1125" s="13" t="str">
        <f t="shared" si="205"/>
        <v/>
      </c>
      <c r="R1125" s="13" t="str">
        <f t="shared" si="206"/>
        <v/>
      </c>
    </row>
    <row r="1126" spans="1:18" ht="15.75" customHeight="1" x14ac:dyDescent="0.3">
      <c r="A1126" s="7" t="s">
        <v>288</v>
      </c>
      <c r="B1126" s="7" t="s">
        <v>72</v>
      </c>
      <c r="C1126" s="24" t="s">
        <v>58</v>
      </c>
      <c r="D1126" s="24" t="s">
        <v>68</v>
      </c>
      <c r="E1126" s="8">
        <v>46206</v>
      </c>
      <c r="F1126" s="8">
        <v>46209</v>
      </c>
      <c r="G1126" s="9">
        <f t="shared" si="207"/>
        <v>4</v>
      </c>
      <c r="H1126" s="10"/>
      <c r="I1126" s="10"/>
      <c r="J1126" s="10"/>
      <c r="K1126" s="11">
        <f t="shared" si="208"/>
        <v>0</v>
      </c>
      <c r="L1126" s="11">
        <f t="shared" si="209"/>
        <v>0</v>
      </c>
      <c r="M1126" s="12" t="str">
        <f t="shared" si="210"/>
        <v/>
      </c>
      <c r="N1126" s="11">
        <f t="shared" si="211"/>
        <v>0</v>
      </c>
      <c r="O1126" s="12" t="str">
        <f t="shared" si="212"/>
        <v/>
      </c>
      <c r="P1126" s="12" t="str">
        <f t="shared" si="213"/>
        <v/>
      </c>
      <c r="Q1126" s="13" t="str">
        <f t="shared" si="205"/>
        <v/>
      </c>
      <c r="R1126" s="13" t="str">
        <f t="shared" si="206"/>
        <v/>
      </c>
    </row>
    <row r="1127" spans="1:18" ht="15.75" customHeight="1" x14ac:dyDescent="0.3">
      <c r="A1127" s="7" t="s">
        <v>288</v>
      </c>
      <c r="B1127" s="7" t="s">
        <v>198</v>
      </c>
      <c r="C1127" s="24" t="s">
        <v>58</v>
      </c>
      <c r="D1127" s="24" t="s">
        <v>66</v>
      </c>
      <c r="E1127" s="8">
        <v>46206</v>
      </c>
      <c r="F1127" s="8">
        <v>46209</v>
      </c>
      <c r="G1127" s="9">
        <f t="shared" si="207"/>
        <v>4</v>
      </c>
      <c r="H1127" s="10"/>
      <c r="I1127" s="10"/>
      <c r="J1127" s="10"/>
      <c r="K1127" s="11">
        <f t="shared" si="208"/>
        <v>0</v>
      </c>
      <c r="L1127" s="11">
        <f t="shared" si="209"/>
        <v>0</v>
      </c>
      <c r="M1127" s="12" t="str">
        <f t="shared" si="210"/>
        <v/>
      </c>
      <c r="N1127" s="11">
        <f t="shared" si="211"/>
        <v>0</v>
      </c>
      <c r="O1127" s="12" t="str">
        <f t="shared" si="212"/>
        <v/>
      </c>
      <c r="P1127" s="12" t="str">
        <f t="shared" si="213"/>
        <v/>
      </c>
      <c r="Q1127" s="13" t="str">
        <f t="shared" si="205"/>
        <v/>
      </c>
      <c r="R1127" s="13" t="str">
        <f t="shared" si="206"/>
        <v/>
      </c>
    </row>
    <row r="1128" spans="1:18" ht="15.75" customHeight="1" x14ac:dyDescent="0.3">
      <c r="A1128" s="7" t="s">
        <v>288</v>
      </c>
      <c r="B1128" s="7" t="s">
        <v>199</v>
      </c>
      <c r="C1128" s="24" t="s">
        <v>58</v>
      </c>
      <c r="D1128" s="24" t="s">
        <v>68</v>
      </c>
      <c r="E1128" s="8">
        <v>46206</v>
      </c>
      <c r="F1128" s="8">
        <v>46209</v>
      </c>
      <c r="G1128" s="9">
        <f t="shared" si="207"/>
        <v>4</v>
      </c>
      <c r="H1128" s="10"/>
      <c r="I1128" s="10"/>
      <c r="J1128" s="10"/>
      <c r="K1128" s="11">
        <f t="shared" si="208"/>
        <v>0</v>
      </c>
      <c r="L1128" s="11">
        <f t="shared" si="209"/>
        <v>0</v>
      </c>
      <c r="M1128" s="12" t="str">
        <f t="shared" si="210"/>
        <v/>
      </c>
      <c r="N1128" s="11">
        <f t="shared" si="211"/>
        <v>0</v>
      </c>
      <c r="O1128" s="12" t="str">
        <f t="shared" si="212"/>
        <v/>
      </c>
      <c r="P1128" s="12" t="str">
        <f t="shared" si="213"/>
        <v/>
      </c>
      <c r="Q1128" s="13" t="str">
        <f t="shared" si="205"/>
        <v/>
      </c>
      <c r="R1128" s="13" t="str">
        <f t="shared" si="206"/>
        <v/>
      </c>
    </row>
    <row r="1129" spans="1:18" ht="15.75" customHeight="1" x14ac:dyDescent="0.3">
      <c r="A1129" s="7" t="s">
        <v>288</v>
      </c>
      <c r="B1129" s="7" t="s">
        <v>114</v>
      </c>
      <c r="C1129" s="24" t="s">
        <v>58</v>
      </c>
      <c r="D1129" s="24" t="s">
        <v>74</v>
      </c>
      <c r="E1129" s="8">
        <v>46206</v>
      </c>
      <c r="F1129" s="8">
        <v>46209</v>
      </c>
      <c r="G1129" s="9">
        <f t="shared" si="207"/>
        <v>4</v>
      </c>
      <c r="H1129" s="10"/>
      <c r="I1129" s="10"/>
      <c r="J1129" s="10"/>
      <c r="K1129" s="11">
        <f t="shared" si="208"/>
        <v>0</v>
      </c>
      <c r="L1129" s="11">
        <f t="shared" si="209"/>
        <v>0</v>
      </c>
      <c r="M1129" s="12" t="str">
        <f t="shared" si="210"/>
        <v/>
      </c>
      <c r="N1129" s="11">
        <f t="shared" si="211"/>
        <v>0</v>
      </c>
      <c r="O1129" s="12" t="str">
        <f t="shared" si="212"/>
        <v/>
      </c>
      <c r="P1129" s="12" t="str">
        <f t="shared" si="213"/>
        <v/>
      </c>
      <c r="Q1129" s="13" t="str">
        <f t="shared" si="205"/>
        <v/>
      </c>
      <c r="R1129" s="13" t="str">
        <f t="shared" si="206"/>
        <v/>
      </c>
    </row>
    <row r="1130" spans="1:18" ht="15.75" customHeight="1" x14ac:dyDescent="0.3">
      <c r="A1130" s="7" t="s">
        <v>288</v>
      </c>
      <c r="B1130" s="7" t="s">
        <v>115</v>
      </c>
      <c r="C1130" s="24" t="s">
        <v>58</v>
      </c>
      <c r="D1130" s="24" t="s">
        <v>74</v>
      </c>
      <c r="E1130" s="8">
        <v>46206</v>
      </c>
      <c r="F1130" s="8">
        <v>46209</v>
      </c>
      <c r="G1130" s="9">
        <f t="shared" si="207"/>
        <v>4</v>
      </c>
      <c r="H1130" s="10"/>
      <c r="I1130" s="10"/>
      <c r="J1130" s="10"/>
      <c r="K1130" s="11">
        <f t="shared" si="208"/>
        <v>0</v>
      </c>
      <c r="L1130" s="11">
        <f t="shared" si="209"/>
        <v>0</v>
      </c>
      <c r="M1130" s="12" t="str">
        <f t="shared" si="210"/>
        <v/>
      </c>
      <c r="N1130" s="11">
        <f t="shared" si="211"/>
        <v>0</v>
      </c>
      <c r="O1130" s="12" t="str">
        <f t="shared" si="212"/>
        <v/>
      </c>
      <c r="P1130" s="12" t="str">
        <f t="shared" si="213"/>
        <v/>
      </c>
      <c r="Q1130" s="13" t="str">
        <f t="shared" si="205"/>
        <v/>
      </c>
      <c r="R1130" s="13" t="str">
        <f t="shared" si="206"/>
        <v/>
      </c>
    </row>
    <row r="1131" spans="1:18" ht="15.75" customHeight="1" x14ac:dyDescent="0.3">
      <c r="A1131" s="7" t="s">
        <v>288</v>
      </c>
      <c r="B1131" s="7" t="s">
        <v>133</v>
      </c>
      <c r="C1131" s="24" t="s">
        <v>58</v>
      </c>
      <c r="D1131" s="24" t="s">
        <v>74</v>
      </c>
      <c r="E1131" s="8">
        <v>46206</v>
      </c>
      <c r="F1131" s="8">
        <v>46209</v>
      </c>
      <c r="G1131" s="9">
        <f t="shared" si="207"/>
        <v>4</v>
      </c>
      <c r="H1131" s="10"/>
      <c r="I1131" s="10"/>
      <c r="J1131" s="10"/>
      <c r="K1131" s="11">
        <f t="shared" si="208"/>
        <v>0</v>
      </c>
      <c r="L1131" s="11">
        <f t="shared" si="209"/>
        <v>0</v>
      </c>
      <c r="M1131" s="12" t="str">
        <f t="shared" si="210"/>
        <v/>
      </c>
      <c r="N1131" s="11">
        <f t="shared" si="211"/>
        <v>0</v>
      </c>
      <c r="O1131" s="12" t="str">
        <f t="shared" si="212"/>
        <v/>
      </c>
      <c r="P1131" s="12" t="str">
        <f t="shared" si="213"/>
        <v/>
      </c>
      <c r="Q1131" s="13" t="str">
        <f t="shared" si="205"/>
        <v/>
      </c>
      <c r="R1131" s="13" t="str">
        <f t="shared" si="206"/>
        <v/>
      </c>
    </row>
    <row r="1132" spans="1:18" ht="15.75" customHeight="1" x14ac:dyDescent="0.3">
      <c r="A1132" s="7" t="s">
        <v>288</v>
      </c>
      <c r="B1132" s="7" t="s">
        <v>210</v>
      </c>
      <c r="C1132" s="24" t="s">
        <v>58</v>
      </c>
      <c r="D1132" s="24" t="s">
        <v>59</v>
      </c>
      <c r="E1132" s="8">
        <v>46206</v>
      </c>
      <c r="F1132" s="8">
        <v>46209</v>
      </c>
      <c r="G1132" s="9">
        <f t="shared" si="207"/>
        <v>4</v>
      </c>
      <c r="H1132" s="10"/>
      <c r="I1132" s="10"/>
      <c r="J1132" s="10"/>
      <c r="K1132" s="11">
        <f t="shared" si="208"/>
        <v>0</v>
      </c>
      <c r="L1132" s="11">
        <f t="shared" si="209"/>
        <v>0</v>
      </c>
      <c r="M1132" s="12" t="str">
        <f t="shared" si="210"/>
        <v/>
      </c>
      <c r="N1132" s="11">
        <f t="shared" si="211"/>
        <v>0</v>
      </c>
      <c r="O1132" s="12" t="str">
        <f t="shared" si="212"/>
        <v/>
      </c>
      <c r="P1132" s="12" t="str">
        <f t="shared" si="213"/>
        <v/>
      </c>
      <c r="Q1132" s="13" t="str">
        <f t="shared" si="205"/>
        <v/>
      </c>
      <c r="R1132" s="13" t="str">
        <f t="shared" si="206"/>
        <v/>
      </c>
    </row>
    <row r="1133" spans="1:18" ht="15.75" customHeight="1" x14ac:dyDescent="0.3">
      <c r="A1133" s="7" t="s">
        <v>288</v>
      </c>
      <c r="B1133" s="7" t="s">
        <v>270</v>
      </c>
      <c r="C1133" s="24" t="s">
        <v>47</v>
      </c>
      <c r="D1133" s="24" t="s">
        <v>48</v>
      </c>
      <c r="E1133" s="8">
        <v>46206</v>
      </c>
      <c r="F1133" s="8">
        <v>46209</v>
      </c>
      <c r="G1133" s="9">
        <f t="shared" si="207"/>
        <v>4</v>
      </c>
      <c r="H1133" s="10"/>
      <c r="I1133" s="10"/>
      <c r="J1133" s="10"/>
      <c r="K1133" s="11">
        <f t="shared" si="208"/>
        <v>0</v>
      </c>
      <c r="L1133" s="11">
        <f t="shared" si="209"/>
        <v>0</v>
      </c>
      <c r="M1133" s="12" t="str">
        <f t="shared" si="210"/>
        <v/>
      </c>
      <c r="N1133" s="11">
        <f t="shared" si="211"/>
        <v>0</v>
      </c>
      <c r="O1133" s="12" t="str">
        <f t="shared" si="212"/>
        <v/>
      </c>
      <c r="P1133" s="12" t="str">
        <f t="shared" si="213"/>
        <v/>
      </c>
      <c r="Q1133" s="13" t="str">
        <f t="shared" ref="Q1133:Q1196" si="214">IFERROR((I1133/H1133)*K1133,"")</f>
        <v/>
      </c>
      <c r="R1133" s="13" t="str">
        <f t="shared" ref="R1133:R1196" si="215">IFERROR((J1133/H1133)*K1133,"")</f>
        <v/>
      </c>
    </row>
    <row r="1134" spans="1:18" ht="15.75" customHeight="1" x14ac:dyDescent="0.3">
      <c r="A1134" s="7" t="s">
        <v>288</v>
      </c>
      <c r="B1134" s="7" t="s">
        <v>271</v>
      </c>
      <c r="C1134" s="24" t="s">
        <v>47</v>
      </c>
      <c r="D1134" s="24" t="s">
        <v>48</v>
      </c>
      <c r="E1134" s="8">
        <v>46206</v>
      </c>
      <c r="F1134" s="8">
        <v>46209</v>
      </c>
      <c r="G1134" s="9">
        <f t="shared" si="207"/>
        <v>4</v>
      </c>
      <c r="H1134" s="10"/>
      <c r="I1134" s="10"/>
      <c r="J1134" s="10"/>
      <c r="K1134" s="11">
        <f t="shared" si="208"/>
        <v>0</v>
      </c>
      <c r="L1134" s="11">
        <f t="shared" si="209"/>
        <v>0</v>
      </c>
      <c r="M1134" s="12" t="str">
        <f t="shared" si="210"/>
        <v/>
      </c>
      <c r="N1134" s="11">
        <f t="shared" si="211"/>
        <v>0</v>
      </c>
      <c r="O1134" s="12" t="str">
        <f t="shared" si="212"/>
        <v/>
      </c>
      <c r="P1134" s="12" t="str">
        <f t="shared" si="213"/>
        <v/>
      </c>
      <c r="Q1134" s="13" t="str">
        <f t="shared" si="214"/>
        <v/>
      </c>
      <c r="R1134" s="13" t="str">
        <f t="shared" si="215"/>
        <v/>
      </c>
    </row>
    <row r="1135" spans="1:18" ht="15.75" customHeight="1" x14ac:dyDescent="0.3">
      <c r="A1135" s="7" t="s">
        <v>297</v>
      </c>
      <c r="B1135" s="7" t="s">
        <v>33</v>
      </c>
      <c r="C1135" s="24" t="s">
        <v>34</v>
      </c>
      <c r="D1135" s="24" t="s">
        <v>35</v>
      </c>
      <c r="E1135" s="8">
        <v>46210</v>
      </c>
      <c r="F1135" s="8">
        <v>46218</v>
      </c>
      <c r="G1135" s="9">
        <f t="shared" si="207"/>
        <v>9</v>
      </c>
      <c r="H1135" s="10"/>
      <c r="I1135" s="10"/>
      <c r="J1135" s="10"/>
      <c r="K1135" s="11">
        <f t="shared" si="208"/>
        <v>0</v>
      </c>
      <c r="L1135" s="11">
        <f t="shared" si="209"/>
        <v>0</v>
      </c>
      <c r="M1135" s="12" t="str">
        <f t="shared" si="210"/>
        <v/>
      </c>
      <c r="N1135" s="11">
        <f t="shared" si="211"/>
        <v>0</v>
      </c>
      <c r="O1135" s="12" t="str">
        <f t="shared" si="212"/>
        <v/>
      </c>
      <c r="P1135" s="12" t="str">
        <f t="shared" si="213"/>
        <v/>
      </c>
      <c r="Q1135" s="13" t="str">
        <f t="shared" si="214"/>
        <v/>
      </c>
      <c r="R1135" s="13" t="str">
        <f t="shared" si="215"/>
        <v/>
      </c>
    </row>
    <row r="1136" spans="1:18" ht="15.75" customHeight="1" x14ac:dyDescent="0.3">
      <c r="A1136" s="7" t="s">
        <v>297</v>
      </c>
      <c r="B1136" s="7" t="s">
        <v>36</v>
      </c>
      <c r="C1136" s="24" t="s">
        <v>34</v>
      </c>
      <c r="D1136" s="24" t="s">
        <v>35</v>
      </c>
      <c r="E1136" s="8">
        <v>46210</v>
      </c>
      <c r="F1136" s="8">
        <v>46218</v>
      </c>
      <c r="G1136" s="9">
        <f t="shared" si="207"/>
        <v>9</v>
      </c>
      <c r="H1136" s="10"/>
      <c r="I1136" s="10"/>
      <c r="J1136" s="10"/>
      <c r="K1136" s="11">
        <f t="shared" si="208"/>
        <v>0</v>
      </c>
      <c r="L1136" s="11">
        <f t="shared" si="209"/>
        <v>0</v>
      </c>
      <c r="M1136" s="12" t="str">
        <f t="shared" si="210"/>
        <v/>
      </c>
      <c r="N1136" s="11">
        <f t="shared" si="211"/>
        <v>0</v>
      </c>
      <c r="O1136" s="12" t="str">
        <f t="shared" si="212"/>
        <v/>
      </c>
      <c r="P1136" s="12" t="str">
        <f t="shared" si="213"/>
        <v/>
      </c>
      <c r="Q1136" s="13" t="str">
        <f t="shared" si="214"/>
        <v/>
      </c>
      <c r="R1136" s="13" t="str">
        <f t="shared" si="215"/>
        <v/>
      </c>
    </row>
    <row r="1137" spans="1:18" ht="15.75" customHeight="1" x14ac:dyDescent="0.3">
      <c r="A1137" s="7" t="s">
        <v>297</v>
      </c>
      <c r="B1137" s="7" t="s">
        <v>282</v>
      </c>
      <c r="C1137" s="24" t="s">
        <v>34</v>
      </c>
      <c r="D1137" s="24" t="s">
        <v>35</v>
      </c>
      <c r="E1137" s="8">
        <v>46210</v>
      </c>
      <c r="F1137" s="8">
        <v>46218</v>
      </c>
      <c r="G1137" s="9">
        <f t="shared" si="207"/>
        <v>9</v>
      </c>
      <c r="H1137" s="10"/>
      <c r="I1137" s="10"/>
      <c r="J1137" s="10"/>
      <c r="K1137" s="11">
        <f t="shared" si="208"/>
        <v>0</v>
      </c>
      <c r="L1137" s="11">
        <f t="shared" si="209"/>
        <v>0</v>
      </c>
      <c r="M1137" s="12" t="str">
        <f t="shared" si="210"/>
        <v/>
      </c>
      <c r="N1137" s="11">
        <f t="shared" si="211"/>
        <v>0</v>
      </c>
      <c r="O1137" s="12" t="str">
        <f t="shared" si="212"/>
        <v/>
      </c>
      <c r="P1137" s="12" t="str">
        <f t="shared" si="213"/>
        <v/>
      </c>
      <c r="Q1137" s="13" t="str">
        <f t="shared" si="214"/>
        <v/>
      </c>
      <c r="R1137" s="13" t="str">
        <f t="shared" si="215"/>
        <v/>
      </c>
    </row>
    <row r="1138" spans="1:18" ht="15.75" customHeight="1" x14ac:dyDescent="0.3">
      <c r="A1138" s="7" t="s">
        <v>297</v>
      </c>
      <c r="B1138" s="7" t="s">
        <v>78</v>
      </c>
      <c r="C1138" s="24" t="s">
        <v>34</v>
      </c>
      <c r="D1138" s="24" t="s">
        <v>35</v>
      </c>
      <c r="E1138" s="8">
        <v>46210</v>
      </c>
      <c r="F1138" s="8">
        <v>46218</v>
      </c>
      <c r="G1138" s="9">
        <f t="shared" si="207"/>
        <v>9</v>
      </c>
      <c r="H1138" s="10"/>
      <c r="I1138" s="10"/>
      <c r="J1138" s="10"/>
      <c r="K1138" s="11">
        <f t="shared" si="208"/>
        <v>0</v>
      </c>
      <c r="L1138" s="11">
        <f t="shared" si="209"/>
        <v>0</v>
      </c>
      <c r="M1138" s="12" t="str">
        <f t="shared" si="210"/>
        <v/>
      </c>
      <c r="N1138" s="11">
        <f t="shared" si="211"/>
        <v>0</v>
      </c>
      <c r="O1138" s="12" t="str">
        <f t="shared" si="212"/>
        <v/>
      </c>
      <c r="P1138" s="12" t="str">
        <f t="shared" si="213"/>
        <v/>
      </c>
      <c r="Q1138" s="13" t="str">
        <f t="shared" si="214"/>
        <v/>
      </c>
      <c r="R1138" s="13" t="str">
        <f t="shared" si="215"/>
        <v/>
      </c>
    </row>
    <row r="1139" spans="1:18" ht="15.75" customHeight="1" x14ac:dyDescent="0.3">
      <c r="A1139" s="7" t="s">
        <v>297</v>
      </c>
      <c r="B1139" s="7" t="s">
        <v>242</v>
      </c>
      <c r="C1139" s="24" t="s">
        <v>34</v>
      </c>
      <c r="D1139" s="24" t="s">
        <v>35</v>
      </c>
      <c r="E1139" s="8">
        <v>46210</v>
      </c>
      <c r="F1139" s="8">
        <v>46218</v>
      </c>
      <c r="G1139" s="9">
        <f t="shared" ref="G1139:G1202" si="216">F1139-E1139+1</f>
        <v>9</v>
      </c>
      <c r="H1139" s="10"/>
      <c r="I1139" s="10"/>
      <c r="J1139" s="10"/>
      <c r="K1139" s="11">
        <f t="shared" si="208"/>
        <v>0</v>
      </c>
      <c r="L1139" s="11">
        <f t="shared" si="209"/>
        <v>0</v>
      </c>
      <c r="M1139" s="12" t="str">
        <f t="shared" si="210"/>
        <v/>
      </c>
      <c r="N1139" s="11">
        <f t="shared" si="211"/>
        <v>0</v>
      </c>
      <c r="O1139" s="12" t="str">
        <f t="shared" si="212"/>
        <v/>
      </c>
      <c r="P1139" s="12" t="str">
        <f t="shared" si="213"/>
        <v/>
      </c>
      <c r="Q1139" s="13" t="str">
        <f t="shared" si="214"/>
        <v/>
      </c>
      <c r="R1139" s="13" t="str">
        <f t="shared" si="215"/>
        <v/>
      </c>
    </row>
    <row r="1140" spans="1:18" ht="15.75" customHeight="1" x14ac:dyDescent="0.3">
      <c r="A1140" s="7" t="s">
        <v>297</v>
      </c>
      <c r="B1140" s="7" t="s">
        <v>90</v>
      </c>
      <c r="C1140" s="24" t="s">
        <v>34</v>
      </c>
      <c r="D1140" s="24" t="s">
        <v>91</v>
      </c>
      <c r="E1140" s="8">
        <v>46210</v>
      </c>
      <c r="F1140" s="8">
        <v>46218</v>
      </c>
      <c r="G1140" s="9">
        <f t="shared" si="216"/>
        <v>9</v>
      </c>
      <c r="H1140" s="10"/>
      <c r="I1140" s="10"/>
      <c r="J1140" s="10"/>
      <c r="K1140" s="11">
        <f t="shared" si="208"/>
        <v>0</v>
      </c>
      <c r="L1140" s="11">
        <f t="shared" si="209"/>
        <v>0</v>
      </c>
      <c r="M1140" s="12" t="str">
        <f t="shared" si="210"/>
        <v/>
      </c>
      <c r="N1140" s="11">
        <f t="shared" si="211"/>
        <v>0</v>
      </c>
      <c r="O1140" s="12" t="str">
        <f t="shared" si="212"/>
        <v/>
      </c>
      <c r="P1140" s="12" t="str">
        <f t="shared" si="213"/>
        <v/>
      </c>
      <c r="Q1140" s="13" t="str">
        <f t="shared" si="214"/>
        <v/>
      </c>
      <c r="R1140" s="13" t="str">
        <f t="shared" si="215"/>
        <v/>
      </c>
    </row>
    <row r="1141" spans="1:18" ht="15.75" customHeight="1" x14ac:dyDescent="0.3">
      <c r="A1141" s="7" t="s">
        <v>297</v>
      </c>
      <c r="B1141" s="7" t="s">
        <v>283</v>
      </c>
      <c r="C1141" s="24" t="s">
        <v>34</v>
      </c>
      <c r="D1141" s="24" t="s">
        <v>91</v>
      </c>
      <c r="E1141" s="8">
        <v>46210</v>
      </c>
      <c r="F1141" s="8">
        <v>46218</v>
      </c>
      <c r="G1141" s="9">
        <f t="shared" si="216"/>
        <v>9</v>
      </c>
      <c r="H1141" s="10"/>
      <c r="I1141" s="10"/>
      <c r="J1141" s="10"/>
      <c r="K1141" s="11">
        <f t="shared" si="208"/>
        <v>0</v>
      </c>
      <c r="L1141" s="11">
        <f t="shared" si="209"/>
        <v>0</v>
      </c>
      <c r="M1141" s="12" t="str">
        <f t="shared" si="210"/>
        <v/>
      </c>
      <c r="N1141" s="11">
        <f t="shared" si="211"/>
        <v>0</v>
      </c>
      <c r="O1141" s="12" t="str">
        <f t="shared" si="212"/>
        <v/>
      </c>
      <c r="P1141" s="12" t="str">
        <f t="shared" si="213"/>
        <v/>
      </c>
      <c r="Q1141" s="13" t="str">
        <f t="shared" si="214"/>
        <v/>
      </c>
      <c r="R1141" s="13" t="str">
        <f t="shared" si="215"/>
        <v/>
      </c>
    </row>
    <row r="1142" spans="1:18" ht="15.75" customHeight="1" x14ac:dyDescent="0.3">
      <c r="A1142" s="7" t="s">
        <v>297</v>
      </c>
      <c r="B1142" s="7" t="s">
        <v>284</v>
      </c>
      <c r="C1142" s="24" t="s">
        <v>34</v>
      </c>
      <c r="D1142" s="24" t="s">
        <v>91</v>
      </c>
      <c r="E1142" s="8">
        <v>46210</v>
      </c>
      <c r="F1142" s="8">
        <v>46218</v>
      </c>
      <c r="G1142" s="9">
        <f t="shared" si="216"/>
        <v>9</v>
      </c>
      <c r="H1142" s="10"/>
      <c r="I1142" s="10"/>
      <c r="J1142" s="10"/>
      <c r="K1142" s="11">
        <f t="shared" si="208"/>
        <v>0</v>
      </c>
      <c r="L1142" s="11">
        <f t="shared" si="209"/>
        <v>0</v>
      </c>
      <c r="M1142" s="12" t="str">
        <f t="shared" si="210"/>
        <v/>
      </c>
      <c r="N1142" s="11">
        <f t="shared" si="211"/>
        <v>0</v>
      </c>
      <c r="O1142" s="12" t="str">
        <f t="shared" si="212"/>
        <v/>
      </c>
      <c r="P1142" s="12" t="str">
        <f t="shared" si="213"/>
        <v/>
      </c>
      <c r="Q1142" s="13" t="str">
        <f t="shared" si="214"/>
        <v/>
      </c>
      <c r="R1142" s="13" t="str">
        <f t="shared" si="215"/>
        <v/>
      </c>
    </row>
    <row r="1143" spans="1:18" ht="15.75" customHeight="1" x14ac:dyDescent="0.3">
      <c r="A1143" s="7" t="s">
        <v>297</v>
      </c>
      <c r="B1143" s="7" t="s">
        <v>41</v>
      </c>
      <c r="C1143" s="24" t="s">
        <v>34</v>
      </c>
      <c r="D1143" s="24" t="s">
        <v>39</v>
      </c>
      <c r="E1143" s="8">
        <v>46210</v>
      </c>
      <c r="F1143" s="8">
        <v>46218</v>
      </c>
      <c r="G1143" s="9">
        <f t="shared" si="216"/>
        <v>9</v>
      </c>
      <c r="H1143" s="10"/>
      <c r="I1143" s="10"/>
      <c r="J1143" s="10"/>
      <c r="K1143" s="11">
        <f t="shared" si="208"/>
        <v>0</v>
      </c>
      <c r="L1143" s="11">
        <f t="shared" si="209"/>
        <v>0</v>
      </c>
      <c r="M1143" s="12" t="str">
        <f t="shared" si="210"/>
        <v/>
      </c>
      <c r="N1143" s="11">
        <f t="shared" si="211"/>
        <v>0</v>
      </c>
      <c r="O1143" s="12" t="str">
        <f t="shared" si="212"/>
        <v/>
      </c>
      <c r="P1143" s="12" t="str">
        <f t="shared" si="213"/>
        <v/>
      </c>
      <c r="Q1143" s="13" t="str">
        <f t="shared" si="214"/>
        <v/>
      </c>
      <c r="R1143" s="13" t="str">
        <f t="shared" si="215"/>
        <v/>
      </c>
    </row>
    <row r="1144" spans="1:18" ht="15.75" customHeight="1" x14ac:dyDescent="0.3">
      <c r="A1144" s="7" t="s">
        <v>297</v>
      </c>
      <c r="B1144" s="7" t="s">
        <v>42</v>
      </c>
      <c r="C1144" s="24" t="s">
        <v>34</v>
      </c>
      <c r="D1144" s="24" t="s">
        <v>39</v>
      </c>
      <c r="E1144" s="8">
        <v>46210</v>
      </c>
      <c r="F1144" s="8">
        <v>46218</v>
      </c>
      <c r="G1144" s="9">
        <f t="shared" si="216"/>
        <v>9</v>
      </c>
      <c r="H1144" s="10"/>
      <c r="I1144" s="10"/>
      <c r="J1144" s="10"/>
      <c r="K1144" s="11">
        <f t="shared" ref="K1144:K1207" si="217">IFERROR(H1144/G1144,"")</f>
        <v>0</v>
      </c>
      <c r="L1144" s="11">
        <f t="shared" ref="L1144:L1207" si="218">IFERROR(I1144/G1144,"")</f>
        <v>0</v>
      </c>
      <c r="M1144" s="12" t="str">
        <f t="shared" ref="M1144:M1207" si="219">IFERROR(I1144/H1144,"")</f>
        <v/>
      </c>
      <c r="N1144" s="11">
        <f t="shared" ref="N1144:N1207" si="220">IFERROR(J1144/G1144,"")</f>
        <v>0</v>
      </c>
      <c r="O1144" s="12" t="str">
        <f t="shared" ref="O1144:O1207" si="221">IFERROR(J1144/I1144,"")</f>
        <v/>
      </c>
      <c r="P1144" s="12" t="str">
        <f t="shared" ref="P1144:P1207" si="222">IFERROR(J1144/H1144,"")</f>
        <v/>
      </c>
      <c r="Q1144" s="13" t="str">
        <f t="shared" si="214"/>
        <v/>
      </c>
      <c r="R1144" s="13" t="str">
        <f t="shared" si="215"/>
        <v/>
      </c>
    </row>
    <row r="1145" spans="1:18" ht="15.75" customHeight="1" x14ac:dyDescent="0.3">
      <c r="A1145" s="7" t="s">
        <v>297</v>
      </c>
      <c r="B1145" s="7" t="s">
        <v>45</v>
      </c>
      <c r="C1145" s="24" t="s">
        <v>34</v>
      </c>
      <c r="D1145" s="24" t="s">
        <v>44</v>
      </c>
      <c r="E1145" s="8">
        <v>46210</v>
      </c>
      <c r="F1145" s="8">
        <v>46218</v>
      </c>
      <c r="G1145" s="9">
        <f t="shared" si="216"/>
        <v>9</v>
      </c>
      <c r="H1145" s="10"/>
      <c r="I1145" s="10"/>
      <c r="J1145" s="10"/>
      <c r="K1145" s="11">
        <f t="shared" si="217"/>
        <v>0</v>
      </c>
      <c r="L1145" s="11">
        <f t="shared" si="218"/>
        <v>0</v>
      </c>
      <c r="M1145" s="12" t="str">
        <f t="shared" si="219"/>
        <v/>
      </c>
      <c r="N1145" s="11">
        <f t="shared" si="220"/>
        <v>0</v>
      </c>
      <c r="O1145" s="12" t="str">
        <f t="shared" si="221"/>
        <v/>
      </c>
      <c r="P1145" s="12" t="str">
        <f t="shared" si="222"/>
        <v/>
      </c>
      <c r="Q1145" s="13" t="str">
        <f t="shared" si="214"/>
        <v/>
      </c>
      <c r="R1145" s="13" t="str">
        <f t="shared" si="215"/>
        <v/>
      </c>
    </row>
    <row r="1146" spans="1:18" ht="15.75" customHeight="1" x14ac:dyDescent="0.3">
      <c r="A1146" s="7" t="s">
        <v>297</v>
      </c>
      <c r="B1146" s="7" t="s">
        <v>220</v>
      </c>
      <c r="C1146" s="24" t="s">
        <v>34</v>
      </c>
      <c r="D1146" s="24" t="s">
        <v>44</v>
      </c>
      <c r="E1146" s="8">
        <v>46210</v>
      </c>
      <c r="F1146" s="8">
        <v>46218</v>
      </c>
      <c r="G1146" s="9">
        <f t="shared" si="216"/>
        <v>9</v>
      </c>
      <c r="H1146" s="10"/>
      <c r="I1146" s="10"/>
      <c r="J1146" s="10"/>
      <c r="K1146" s="11">
        <f t="shared" si="217"/>
        <v>0</v>
      </c>
      <c r="L1146" s="11">
        <f t="shared" si="218"/>
        <v>0</v>
      </c>
      <c r="M1146" s="12" t="str">
        <f t="shared" si="219"/>
        <v/>
      </c>
      <c r="N1146" s="11">
        <f t="shared" si="220"/>
        <v>0</v>
      </c>
      <c r="O1146" s="12" t="str">
        <f t="shared" si="221"/>
        <v/>
      </c>
      <c r="P1146" s="12" t="str">
        <f t="shared" si="222"/>
        <v/>
      </c>
      <c r="Q1146" s="13" t="str">
        <f t="shared" si="214"/>
        <v/>
      </c>
      <c r="R1146" s="13" t="str">
        <f t="shared" si="215"/>
        <v/>
      </c>
    </row>
    <row r="1147" spans="1:18" ht="15.75" customHeight="1" x14ac:dyDescent="0.3">
      <c r="A1147" s="7" t="s">
        <v>297</v>
      </c>
      <c r="B1147" s="7" t="s">
        <v>43</v>
      </c>
      <c r="C1147" s="24" t="s">
        <v>34</v>
      </c>
      <c r="D1147" s="24" t="s">
        <v>44</v>
      </c>
      <c r="E1147" s="8">
        <v>46210</v>
      </c>
      <c r="F1147" s="8">
        <v>46218</v>
      </c>
      <c r="G1147" s="9">
        <f t="shared" si="216"/>
        <v>9</v>
      </c>
      <c r="H1147" s="10"/>
      <c r="I1147" s="10"/>
      <c r="J1147" s="10"/>
      <c r="K1147" s="11">
        <f t="shared" si="217"/>
        <v>0</v>
      </c>
      <c r="L1147" s="11">
        <f t="shared" si="218"/>
        <v>0</v>
      </c>
      <c r="M1147" s="12" t="str">
        <f t="shared" si="219"/>
        <v/>
      </c>
      <c r="N1147" s="11">
        <f t="shared" si="220"/>
        <v>0</v>
      </c>
      <c r="O1147" s="12" t="str">
        <f t="shared" si="221"/>
        <v/>
      </c>
      <c r="P1147" s="12" t="str">
        <f t="shared" si="222"/>
        <v/>
      </c>
      <c r="Q1147" s="13" t="str">
        <f t="shared" si="214"/>
        <v/>
      </c>
      <c r="R1147" s="13" t="str">
        <f t="shared" si="215"/>
        <v/>
      </c>
    </row>
    <row r="1148" spans="1:18" ht="15.75" customHeight="1" x14ac:dyDescent="0.3">
      <c r="A1148" s="7" t="s">
        <v>297</v>
      </c>
      <c r="B1148" s="7" t="s">
        <v>117</v>
      </c>
      <c r="C1148" s="24" t="s">
        <v>47</v>
      </c>
      <c r="D1148" s="24" t="s">
        <v>48</v>
      </c>
      <c r="E1148" s="8">
        <v>46210</v>
      </c>
      <c r="F1148" s="8">
        <v>46218</v>
      </c>
      <c r="G1148" s="9">
        <f t="shared" si="216"/>
        <v>9</v>
      </c>
      <c r="H1148" s="10"/>
      <c r="I1148" s="10"/>
      <c r="J1148" s="10"/>
      <c r="K1148" s="11">
        <f t="shared" si="217"/>
        <v>0</v>
      </c>
      <c r="L1148" s="11">
        <f t="shared" si="218"/>
        <v>0</v>
      </c>
      <c r="M1148" s="12" t="str">
        <f t="shared" si="219"/>
        <v/>
      </c>
      <c r="N1148" s="11">
        <f t="shared" si="220"/>
        <v>0</v>
      </c>
      <c r="O1148" s="12" t="str">
        <f t="shared" si="221"/>
        <v/>
      </c>
      <c r="P1148" s="12" t="str">
        <f t="shared" si="222"/>
        <v/>
      </c>
      <c r="Q1148" s="13" t="str">
        <f t="shared" si="214"/>
        <v/>
      </c>
      <c r="R1148" s="13" t="str">
        <f t="shared" si="215"/>
        <v/>
      </c>
    </row>
    <row r="1149" spans="1:18" ht="15.75" customHeight="1" x14ac:dyDescent="0.3">
      <c r="A1149" s="7" t="s">
        <v>297</v>
      </c>
      <c r="B1149" s="7" t="s">
        <v>118</v>
      </c>
      <c r="C1149" s="24" t="s">
        <v>47</v>
      </c>
      <c r="D1149" s="24" t="s">
        <v>48</v>
      </c>
      <c r="E1149" s="8">
        <v>46210</v>
      </c>
      <c r="F1149" s="8">
        <v>46218</v>
      </c>
      <c r="G1149" s="9">
        <f t="shared" si="216"/>
        <v>9</v>
      </c>
      <c r="H1149" s="10"/>
      <c r="I1149" s="10"/>
      <c r="J1149" s="10"/>
      <c r="K1149" s="11">
        <f t="shared" si="217"/>
        <v>0</v>
      </c>
      <c r="L1149" s="11">
        <f t="shared" si="218"/>
        <v>0</v>
      </c>
      <c r="M1149" s="12" t="str">
        <f t="shared" si="219"/>
        <v/>
      </c>
      <c r="N1149" s="11">
        <f t="shared" si="220"/>
        <v>0</v>
      </c>
      <c r="O1149" s="12" t="str">
        <f t="shared" si="221"/>
        <v/>
      </c>
      <c r="P1149" s="12" t="str">
        <f t="shared" si="222"/>
        <v/>
      </c>
      <c r="Q1149" s="13" t="str">
        <f t="shared" si="214"/>
        <v/>
      </c>
      <c r="R1149" s="13" t="str">
        <f t="shared" si="215"/>
        <v/>
      </c>
    </row>
    <row r="1150" spans="1:18" ht="15.75" customHeight="1" x14ac:dyDescent="0.3">
      <c r="A1150" s="7" t="s">
        <v>297</v>
      </c>
      <c r="B1150" s="7" t="s">
        <v>184</v>
      </c>
      <c r="C1150" s="24" t="s">
        <v>47</v>
      </c>
      <c r="D1150" s="24" t="s">
        <v>48</v>
      </c>
      <c r="E1150" s="8">
        <v>46210</v>
      </c>
      <c r="F1150" s="8">
        <v>46218</v>
      </c>
      <c r="G1150" s="9">
        <f t="shared" si="216"/>
        <v>9</v>
      </c>
      <c r="H1150" s="10"/>
      <c r="I1150" s="10"/>
      <c r="J1150" s="10"/>
      <c r="K1150" s="11">
        <f t="shared" si="217"/>
        <v>0</v>
      </c>
      <c r="L1150" s="11">
        <f t="shared" si="218"/>
        <v>0</v>
      </c>
      <c r="M1150" s="12" t="str">
        <f t="shared" si="219"/>
        <v/>
      </c>
      <c r="N1150" s="11">
        <f t="shared" si="220"/>
        <v>0</v>
      </c>
      <c r="O1150" s="12" t="str">
        <f t="shared" si="221"/>
        <v/>
      </c>
      <c r="P1150" s="12" t="str">
        <f t="shared" si="222"/>
        <v/>
      </c>
      <c r="Q1150" s="13" t="str">
        <f t="shared" si="214"/>
        <v/>
      </c>
      <c r="R1150" s="13" t="str">
        <f t="shared" si="215"/>
        <v/>
      </c>
    </row>
    <row r="1151" spans="1:18" ht="15.75" customHeight="1" x14ac:dyDescent="0.3">
      <c r="A1151" s="7" t="s">
        <v>297</v>
      </c>
      <c r="B1151" s="7" t="s">
        <v>185</v>
      </c>
      <c r="C1151" s="24" t="s">
        <v>47</v>
      </c>
      <c r="D1151" s="24" t="s">
        <v>48</v>
      </c>
      <c r="E1151" s="8">
        <v>46210</v>
      </c>
      <c r="F1151" s="8">
        <v>46218</v>
      </c>
      <c r="G1151" s="9">
        <f t="shared" si="216"/>
        <v>9</v>
      </c>
      <c r="H1151" s="10"/>
      <c r="I1151" s="10"/>
      <c r="J1151" s="10"/>
      <c r="K1151" s="11">
        <f t="shared" si="217"/>
        <v>0</v>
      </c>
      <c r="L1151" s="11">
        <f t="shared" si="218"/>
        <v>0</v>
      </c>
      <c r="M1151" s="12" t="str">
        <f t="shared" si="219"/>
        <v/>
      </c>
      <c r="N1151" s="11">
        <f t="shared" si="220"/>
        <v>0</v>
      </c>
      <c r="O1151" s="12" t="str">
        <f t="shared" si="221"/>
        <v/>
      </c>
      <c r="P1151" s="12" t="str">
        <f t="shared" si="222"/>
        <v/>
      </c>
      <c r="Q1151" s="13" t="str">
        <f t="shared" si="214"/>
        <v/>
      </c>
      <c r="R1151" s="13" t="str">
        <f t="shared" si="215"/>
        <v/>
      </c>
    </row>
    <row r="1152" spans="1:18" ht="15.75" customHeight="1" x14ac:dyDescent="0.3">
      <c r="A1152" s="7" t="s">
        <v>297</v>
      </c>
      <c r="B1152" s="7" t="s">
        <v>285</v>
      </c>
      <c r="C1152" s="24" t="s">
        <v>47</v>
      </c>
      <c r="D1152" s="24" t="s">
        <v>48</v>
      </c>
      <c r="E1152" s="8">
        <v>46210</v>
      </c>
      <c r="F1152" s="8">
        <v>46218</v>
      </c>
      <c r="G1152" s="9">
        <f t="shared" si="216"/>
        <v>9</v>
      </c>
      <c r="H1152" s="10"/>
      <c r="I1152" s="10"/>
      <c r="J1152" s="10"/>
      <c r="K1152" s="11">
        <f t="shared" si="217"/>
        <v>0</v>
      </c>
      <c r="L1152" s="11">
        <f t="shared" si="218"/>
        <v>0</v>
      </c>
      <c r="M1152" s="12" t="str">
        <f t="shared" si="219"/>
        <v/>
      </c>
      <c r="N1152" s="11">
        <f t="shared" si="220"/>
        <v>0</v>
      </c>
      <c r="O1152" s="12" t="str">
        <f t="shared" si="221"/>
        <v/>
      </c>
      <c r="P1152" s="12" t="str">
        <f t="shared" si="222"/>
        <v/>
      </c>
      <c r="Q1152" s="13" t="str">
        <f t="shared" si="214"/>
        <v/>
      </c>
      <c r="R1152" s="13" t="str">
        <f t="shared" si="215"/>
        <v/>
      </c>
    </row>
    <row r="1153" spans="1:18" ht="15.75" customHeight="1" x14ac:dyDescent="0.3">
      <c r="A1153" s="7" t="s">
        <v>297</v>
      </c>
      <c r="B1153" s="7" t="s">
        <v>286</v>
      </c>
      <c r="C1153" s="24" t="s">
        <v>47</v>
      </c>
      <c r="D1153" s="24" t="s">
        <v>48</v>
      </c>
      <c r="E1153" s="8">
        <v>46210</v>
      </c>
      <c r="F1153" s="8">
        <v>46218</v>
      </c>
      <c r="G1153" s="9">
        <f t="shared" si="216"/>
        <v>9</v>
      </c>
      <c r="H1153" s="10"/>
      <c r="I1153" s="10"/>
      <c r="J1153" s="10"/>
      <c r="K1153" s="11">
        <f t="shared" si="217"/>
        <v>0</v>
      </c>
      <c r="L1153" s="11">
        <f t="shared" si="218"/>
        <v>0</v>
      </c>
      <c r="M1153" s="12" t="str">
        <f t="shared" si="219"/>
        <v/>
      </c>
      <c r="N1153" s="11">
        <f t="shared" si="220"/>
        <v>0</v>
      </c>
      <c r="O1153" s="12" t="str">
        <f t="shared" si="221"/>
        <v/>
      </c>
      <c r="P1153" s="12" t="str">
        <f t="shared" si="222"/>
        <v/>
      </c>
      <c r="Q1153" s="13" t="str">
        <f t="shared" si="214"/>
        <v/>
      </c>
      <c r="R1153" s="13" t="str">
        <f t="shared" si="215"/>
        <v/>
      </c>
    </row>
    <row r="1154" spans="1:18" ht="15.75" customHeight="1" x14ac:dyDescent="0.3">
      <c r="A1154" s="7" t="s">
        <v>297</v>
      </c>
      <c r="B1154" s="7" t="s">
        <v>145</v>
      </c>
      <c r="C1154" s="24" t="s">
        <v>47</v>
      </c>
      <c r="D1154" s="24" t="s">
        <v>53</v>
      </c>
      <c r="E1154" s="8">
        <v>46210</v>
      </c>
      <c r="F1154" s="8">
        <v>46218</v>
      </c>
      <c r="G1154" s="9">
        <f t="shared" si="216"/>
        <v>9</v>
      </c>
      <c r="H1154" s="10"/>
      <c r="I1154" s="10"/>
      <c r="J1154" s="10"/>
      <c r="K1154" s="11">
        <f t="shared" si="217"/>
        <v>0</v>
      </c>
      <c r="L1154" s="11">
        <f t="shared" si="218"/>
        <v>0</v>
      </c>
      <c r="M1154" s="12" t="str">
        <f t="shared" si="219"/>
        <v/>
      </c>
      <c r="N1154" s="11">
        <f t="shared" si="220"/>
        <v>0</v>
      </c>
      <c r="O1154" s="12" t="str">
        <f t="shared" si="221"/>
        <v/>
      </c>
      <c r="P1154" s="12" t="str">
        <f t="shared" si="222"/>
        <v/>
      </c>
      <c r="Q1154" s="13" t="str">
        <f t="shared" si="214"/>
        <v/>
      </c>
      <c r="R1154" s="13" t="str">
        <f t="shared" si="215"/>
        <v/>
      </c>
    </row>
    <row r="1155" spans="1:18" ht="15.75" customHeight="1" x14ac:dyDescent="0.3">
      <c r="A1155" s="7" t="s">
        <v>297</v>
      </c>
      <c r="B1155" s="7" t="s">
        <v>98</v>
      </c>
      <c r="C1155" s="24" t="s">
        <v>47</v>
      </c>
      <c r="D1155" s="24" t="s">
        <v>53</v>
      </c>
      <c r="E1155" s="8">
        <v>46210</v>
      </c>
      <c r="F1155" s="8">
        <v>46218</v>
      </c>
      <c r="G1155" s="9">
        <f t="shared" si="216"/>
        <v>9</v>
      </c>
      <c r="H1155" s="10"/>
      <c r="I1155" s="10"/>
      <c r="J1155" s="10"/>
      <c r="K1155" s="11">
        <f t="shared" si="217"/>
        <v>0</v>
      </c>
      <c r="L1155" s="11">
        <f t="shared" si="218"/>
        <v>0</v>
      </c>
      <c r="M1155" s="12" t="str">
        <f t="shared" si="219"/>
        <v/>
      </c>
      <c r="N1155" s="11">
        <f t="shared" si="220"/>
        <v>0</v>
      </c>
      <c r="O1155" s="12" t="str">
        <f t="shared" si="221"/>
        <v/>
      </c>
      <c r="P1155" s="12" t="str">
        <f t="shared" si="222"/>
        <v/>
      </c>
      <c r="Q1155" s="13" t="str">
        <f t="shared" si="214"/>
        <v/>
      </c>
      <c r="R1155" s="13" t="str">
        <f t="shared" si="215"/>
        <v/>
      </c>
    </row>
    <row r="1156" spans="1:18" ht="15.75" customHeight="1" x14ac:dyDescent="0.3">
      <c r="A1156" s="7" t="s">
        <v>297</v>
      </c>
      <c r="B1156" s="7" t="s">
        <v>279</v>
      </c>
      <c r="C1156" s="24" t="s">
        <v>47</v>
      </c>
      <c r="D1156" s="24" t="s">
        <v>433</v>
      </c>
      <c r="E1156" s="8">
        <v>46210</v>
      </c>
      <c r="F1156" s="8">
        <v>46218</v>
      </c>
      <c r="G1156" s="9">
        <f t="shared" si="216"/>
        <v>9</v>
      </c>
      <c r="H1156" s="10"/>
      <c r="I1156" s="10"/>
      <c r="J1156" s="10"/>
      <c r="K1156" s="11">
        <f t="shared" si="217"/>
        <v>0</v>
      </c>
      <c r="L1156" s="11">
        <f t="shared" si="218"/>
        <v>0</v>
      </c>
      <c r="M1156" s="12" t="str">
        <f t="shared" si="219"/>
        <v/>
      </c>
      <c r="N1156" s="11">
        <f t="shared" si="220"/>
        <v>0</v>
      </c>
      <c r="O1156" s="12" t="str">
        <f t="shared" si="221"/>
        <v/>
      </c>
      <c r="P1156" s="12" t="str">
        <f t="shared" si="222"/>
        <v/>
      </c>
      <c r="Q1156" s="13" t="str">
        <f t="shared" si="214"/>
        <v/>
      </c>
      <c r="R1156" s="13" t="str">
        <f t="shared" si="215"/>
        <v/>
      </c>
    </row>
    <row r="1157" spans="1:18" ht="15.75" customHeight="1" x14ac:dyDescent="0.3">
      <c r="A1157" s="7" t="s">
        <v>297</v>
      </c>
      <c r="B1157" s="7" t="s">
        <v>280</v>
      </c>
      <c r="C1157" s="24" t="s">
        <v>47</v>
      </c>
      <c r="D1157" s="24" t="s">
        <v>433</v>
      </c>
      <c r="E1157" s="8">
        <v>46210</v>
      </c>
      <c r="F1157" s="8">
        <v>46218</v>
      </c>
      <c r="G1157" s="9">
        <f t="shared" si="216"/>
        <v>9</v>
      </c>
      <c r="H1157" s="10"/>
      <c r="I1157" s="10"/>
      <c r="J1157" s="10"/>
      <c r="K1157" s="11">
        <f t="shared" si="217"/>
        <v>0</v>
      </c>
      <c r="L1157" s="11">
        <f t="shared" si="218"/>
        <v>0</v>
      </c>
      <c r="M1157" s="12" t="str">
        <f t="shared" si="219"/>
        <v/>
      </c>
      <c r="N1157" s="11">
        <f t="shared" si="220"/>
        <v>0</v>
      </c>
      <c r="O1157" s="12" t="str">
        <f t="shared" si="221"/>
        <v/>
      </c>
      <c r="P1157" s="12" t="str">
        <f t="shared" si="222"/>
        <v/>
      </c>
      <c r="Q1157" s="13" t="str">
        <f t="shared" si="214"/>
        <v/>
      </c>
      <c r="R1157" s="13" t="str">
        <f t="shared" si="215"/>
        <v/>
      </c>
    </row>
    <row r="1158" spans="1:18" ht="15.75" customHeight="1" x14ac:dyDescent="0.3">
      <c r="A1158" s="7" t="s">
        <v>297</v>
      </c>
      <c r="B1158" s="7" t="s">
        <v>216</v>
      </c>
      <c r="C1158" s="24" t="s">
        <v>47</v>
      </c>
      <c r="D1158" s="24" t="s">
        <v>53</v>
      </c>
      <c r="E1158" s="8">
        <v>46210</v>
      </c>
      <c r="F1158" s="8">
        <v>46218</v>
      </c>
      <c r="G1158" s="9">
        <f t="shared" si="216"/>
        <v>9</v>
      </c>
      <c r="H1158" s="10"/>
      <c r="I1158" s="10"/>
      <c r="J1158" s="10"/>
      <c r="K1158" s="11">
        <f t="shared" si="217"/>
        <v>0</v>
      </c>
      <c r="L1158" s="11">
        <f t="shared" si="218"/>
        <v>0</v>
      </c>
      <c r="M1158" s="12" t="str">
        <f t="shared" si="219"/>
        <v/>
      </c>
      <c r="N1158" s="11">
        <f t="shared" si="220"/>
        <v>0</v>
      </c>
      <c r="O1158" s="12" t="str">
        <f t="shared" si="221"/>
        <v/>
      </c>
      <c r="P1158" s="12" t="str">
        <f t="shared" si="222"/>
        <v/>
      </c>
      <c r="Q1158" s="13" t="str">
        <f t="shared" si="214"/>
        <v/>
      </c>
      <c r="R1158" s="13" t="str">
        <f t="shared" si="215"/>
        <v/>
      </c>
    </row>
    <row r="1159" spans="1:18" ht="15.75" customHeight="1" x14ac:dyDescent="0.3">
      <c r="A1159" s="7" t="s">
        <v>297</v>
      </c>
      <c r="B1159" s="7" t="s">
        <v>100</v>
      </c>
      <c r="C1159" s="24" t="s">
        <v>47</v>
      </c>
      <c r="D1159" s="24" t="s">
        <v>56</v>
      </c>
      <c r="E1159" s="8">
        <v>46210</v>
      </c>
      <c r="F1159" s="8">
        <v>46218</v>
      </c>
      <c r="G1159" s="9">
        <f t="shared" si="216"/>
        <v>9</v>
      </c>
      <c r="H1159" s="10"/>
      <c r="I1159" s="10"/>
      <c r="J1159" s="10"/>
      <c r="K1159" s="11">
        <f t="shared" si="217"/>
        <v>0</v>
      </c>
      <c r="L1159" s="11">
        <f t="shared" si="218"/>
        <v>0</v>
      </c>
      <c r="M1159" s="12" t="str">
        <f t="shared" si="219"/>
        <v/>
      </c>
      <c r="N1159" s="11">
        <f t="shared" si="220"/>
        <v>0</v>
      </c>
      <c r="O1159" s="12" t="str">
        <f t="shared" si="221"/>
        <v/>
      </c>
      <c r="P1159" s="12" t="str">
        <f t="shared" si="222"/>
        <v/>
      </c>
      <c r="Q1159" s="13" t="str">
        <f t="shared" si="214"/>
        <v/>
      </c>
      <c r="R1159" s="13" t="str">
        <f t="shared" si="215"/>
        <v/>
      </c>
    </row>
    <row r="1160" spans="1:18" ht="15.75" customHeight="1" x14ac:dyDescent="0.3">
      <c r="A1160" s="7" t="s">
        <v>297</v>
      </c>
      <c r="B1160" s="7" t="s">
        <v>99</v>
      </c>
      <c r="C1160" s="24" t="s">
        <v>47</v>
      </c>
      <c r="D1160" s="24" t="s">
        <v>56</v>
      </c>
      <c r="E1160" s="8">
        <v>46210</v>
      </c>
      <c r="F1160" s="8">
        <v>46218</v>
      </c>
      <c r="G1160" s="9">
        <f t="shared" si="216"/>
        <v>9</v>
      </c>
      <c r="H1160" s="10"/>
      <c r="I1160" s="10"/>
      <c r="J1160" s="10"/>
      <c r="K1160" s="11">
        <f t="shared" si="217"/>
        <v>0</v>
      </c>
      <c r="L1160" s="11">
        <f t="shared" si="218"/>
        <v>0</v>
      </c>
      <c r="M1160" s="12" t="str">
        <f t="shared" si="219"/>
        <v/>
      </c>
      <c r="N1160" s="11">
        <f t="shared" si="220"/>
        <v>0</v>
      </c>
      <c r="O1160" s="12" t="str">
        <f t="shared" si="221"/>
        <v/>
      </c>
      <c r="P1160" s="12" t="str">
        <f t="shared" si="222"/>
        <v/>
      </c>
      <c r="Q1160" s="13" t="str">
        <f t="shared" si="214"/>
        <v/>
      </c>
      <c r="R1160" s="13" t="str">
        <f t="shared" si="215"/>
        <v/>
      </c>
    </row>
    <row r="1161" spans="1:18" ht="15.75" customHeight="1" x14ac:dyDescent="0.3">
      <c r="A1161" s="7" t="s">
        <v>297</v>
      </c>
      <c r="B1161" s="7" t="s">
        <v>287</v>
      </c>
      <c r="C1161" s="24" t="s">
        <v>47</v>
      </c>
      <c r="D1161" s="24" t="s">
        <v>448</v>
      </c>
      <c r="E1161" s="8">
        <v>46210</v>
      </c>
      <c r="F1161" s="8">
        <v>46218</v>
      </c>
      <c r="G1161" s="9">
        <f t="shared" si="216"/>
        <v>9</v>
      </c>
      <c r="H1161" s="10"/>
      <c r="I1161" s="10"/>
      <c r="J1161" s="10"/>
      <c r="K1161" s="11">
        <f t="shared" si="217"/>
        <v>0</v>
      </c>
      <c r="L1161" s="11">
        <f t="shared" si="218"/>
        <v>0</v>
      </c>
      <c r="M1161" s="12" t="str">
        <f t="shared" si="219"/>
        <v/>
      </c>
      <c r="N1161" s="11">
        <f t="shared" si="220"/>
        <v>0</v>
      </c>
      <c r="O1161" s="12" t="str">
        <f t="shared" si="221"/>
        <v/>
      </c>
      <c r="P1161" s="12" t="str">
        <f t="shared" si="222"/>
        <v/>
      </c>
      <c r="Q1161" s="13" t="str">
        <f t="shared" si="214"/>
        <v/>
      </c>
      <c r="R1161" s="13" t="str">
        <f t="shared" si="215"/>
        <v/>
      </c>
    </row>
    <row r="1162" spans="1:18" ht="15.75" customHeight="1" x14ac:dyDescent="0.3">
      <c r="A1162" s="7" t="s">
        <v>297</v>
      </c>
      <c r="B1162" s="7" t="s">
        <v>176</v>
      </c>
      <c r="C1162" s="24" t="s">
        <v>58</v>
      </c>
      <c r="D1162" s="24" t="s">
        <v>61</v>
      </c>
      <c r="E1162" s="8">
        <v>46210</v>
      </c>
      <c r="F1162" s="8">
        <v>46218</v>
      </c>
      <c r="G1162" s="9">
        <f t="shared" si="216"/>
        <v>9</v>
      </c>
      <c r="H1162" s="10"/>
      <c r="I1162" s="10"/>
      <c r="J1162" s="10"/>
      <c r="K1162" s="11">
        <f t="shared" si="217"/>
        <v>0</v>
      </c>
      <c r="L1162" s="11">
        <f t="shared" si="218"/>
        <v>0</v>
      </c>
      <c r="M1162" s="12" t="str">
        <f t="shared" si="219"/>
        <v/>
      </c>
      <c r="N1162" s="11">
        <f t="shared" si="220"/>
        <v>0</v>
      </c>
      <c r="O1162" s="12" t="str">
        <f t="shared" si="221"/>
        <v/>
      </c>
      <c r="P1162" s="12" t="str">
        <f t="shared" si="222"/>
        <v/>
      </c>
      <c r="Q1162" s="13" t="str">
        <f t="shared" si="214"/>
        <v/>
      </c>
      <c r="R1162" s="13" t="str">
        <f t="shared" si="215"/>
        <v/>
      </c>
    </row>
    <row r="1163" spans="1:18" ht="15.75" customHeight="1" x14ac:dyDescent="0.3">
      <c r="A1163" s="7" t="s">
        <v>297</v>
      </c>
      <c r="B1163" s="7" t="s">
        <v>177</v>
      </c>
      <c r="C1163" s="24" t="s">
        <v>58</v>
      </c>
      <c r="D1163" s="24" t="s">
        <v>61</v>
      </c>
      <c r="E1163" s="8">
        <v>46210</v>
      </c>
      <c r="F1163" s="8">
        <v>46218</v>
      </c>
      <c r="G1163" s="9">
        <f t="shared" si="216"/>
        <v>9</v>
      </c>
      <c r="H1163" s="10"/>
      <c r="I1163" s="10"/>
      <c r="J1163" s="10"/>
      <c r="K1163" s="11">
        <f t="shared" si="217"/>
        <v>0</v>
      </c>
      <c r="L1163" s="11">
        <f t="shared" si="218"/>
        <v>0</v>
      </c>
      <c r="M1163" s="12" t="str">
        <f t="shared" si="219"/>
        <v/>
      </c>
      <c r="N1163" s="11">
        <f t="shared" si="220"/>
        <v>0</v>
      </c>
      <c r="O1163" s="12" t="str">
        <f t="shared" si="221"/>
        <v/>
      </c>
      <c r="P1163" s="12" t="str">
        <f t="shared" si="222"/>
        <v/>
      </c>
      <c r="Q1163" s="13" t="str">
        <f t="shared" si="214"/>
        <v/>
      </c>
      <c r="R1163" s="13" t="str">
        <f t="shared" si="215"/>
        <v/>
      </c>
    </row>
    <row r="1164" spans="1:18" ht="15.75" customHeight="1" x14ac:dyDescent="0.3">
      <c r="A1164" s="7" t="s">
        <v>297</v>
      </c>
      <c r="B1164" s="7" t="s">
        <v>60</v>
      </c>
      <c r="C1164" s="24" t="s">
        <v>58</v>
      </c>
      <c r="D1164" s="24" t="s">
        <v>61</v>
      </c>
      <c r="E1164" s="8">
        <v>46210</v>
      </c>
      <c r="F1164" s="8">
        <v>46218</v>
      </c>
      <c r="G1164" s="9">
        <f t="shared" si="216"/>
        <v>9</v>
      </c>
      <c r="H1164" s="10"/>
      <c r="I1164" s="10"/>
      <c r="J1164" s="10"/>
      <c r="K1164" s="11">
        <f t="shared" si="217"/>
        <v>0</v>
      </c>
      <c r="L1164" s="11">
        <f t="shared" si="218"/>
        <v>0</v>
      </c>
      <c r="M1164" s="12" t="str">
        <f t="shared" si="219"/>
        <v/>
      </c>
      <c r="N1164" s="11">
        <f t="shared" si="220"/>
        <v>0</v>
      </c>
      <c r="O1164" s="12" t="str">
        <f t="shared" si="221"/>
        <v/>
      </c>
      <c r="P1164" s="12" t="str">
        <f t="shared" si="222"/>
        <v/>
      </c>
      <c r="Q1164" s="13" t="str">
        <f t="shared" si="214"/>
        <v/>
      </c>
      <c r="R1164" s="13" t="str">
        <f t="shared" si="215"/>
        <v/>
      </c>
    </row>
    <row r="1165" spans="1:18" ht="15.75" customHeight="1" x14ac:dyDescent="0.3">
      <c r="A1165" s="7" t="s">
        <v>297</v>
      </c>
      <c r="B1165" s="7" t="s">
        <v>235</v>
      </c>
      <c r="C1165" s="24" t="s">
        <v>58</v>
      </c>
      <c r="D1165" s="24" t="s">
        <v>107</v>
      </c>
      <c r="E1165" s="8">
        <v>46210</v>
      </c>
      <c r="F1165" s="8">
        <v>46218</v>
      </c>
      <c r="G1165" s="9">
        <f t="shared" si="216"/>
        <v>9</v>
      </c>
      <c r="H1165" s="10"/>
      <c r="I1165" s="10"/>
      <c r="J1165" s="10"/>
      <c r="K1165" s="11">
        <f t="shared" si="217"/>
        <v>0</v>
      </c>
      <c r="L1165" s="11">
        <f t="shared" si="218"/>
        <v>0</v>
      </c>
      <c r="M1165" s="12" t="str">
        <f t="shared" si="219"/>
        <v/>
      </c>
      <c r="N1165" s="11">
        <f t="shared" si="220"/>
        <v>0</v>
      </c>
      <c r="O1165" s="12" t="str">
        <f t="shared" si="221"/>
        <v/>
      </c>
      <c r="P1165" s="12" t="str">
        <f t="shared" si="222"/>
        <v/>
      </c>
      <c r="Q1165" s="13" t="str">
        <f t="shared" si="214"/>
        <v/>
      </c>
      <c r="R1165" s="13" t="str">
        <f t="shared" si="215"/>
        <v/>
      </c>
    </row>
    <row r="1166" spans="1:18" ht="15.75" customHeight="1" x14ac:dyDescent="0.3">
      <c r="A1166" s="7" t="s">
        <v>297</v>
      </c>
      <c r="B1166" s="7" t="s">
        <v>194</v>
      </c>
      <c r="C1166" s="24" t="s">
        <v>58</v>
      </c>
      <c r="D1166" s="24" t="s">
        <v>103</v>
      </c>
      <c r="E1166" s="8">
        <v>46210</v>
      </c>
      <c r="F1166" s="8">
        <v>46218</v>
      </c>
      <c r="G1166" s="9">
        <f t="shared" si="216"/>
        <v>9</v>
      </c>
      <c r="H1166" s="10"/>
      <c r="I1166" s="10"/>
      <c r="J1166" s="10"/>
      <c r="K1166" s="11">
        <f t="shared" si="217"/>
        <v>0</v>
      </c>
      <c r="L1166" s="11">
        <f t="shared" si="218"/>
        <v>0</v>
      </c>
      <c r="M1166" s="12" t="str">
        <f t="shared" si="219"/>
        <v/>
      </c>
      <c r="N1166" s="11">
        <f t="shared" si="220"/>
        <v>0</v>
      </c>
      <c r="O1166" s="12" t="str">
        <f t="shared" si="221"/>
        <v/>
      </c>
      <c r="P1166" s="12" t="str">
        <f t="shared" si="222"/>
        <v/>
      </c>
      <c r="Q1166" s="13" t="str">
        <f t="shared" si="214"/>
        <v/>
      </c>
      <c r="R1166" s="13" t="str">
        <f t="shared" si="215"/>
        <v/>
      </c>
    </row>
    <row r="1167" spans="1:18" ht="15.75" customHeight="1" x14ac:dyDescent="0.3">
      <c r="A1167" s="7" t="s">
        <v>297</v>
      </c>
      <c r="B1167" s="7" t="s">
        <v>243</v>
      </c>
      <c r="C1167" s="24" t="s">
        <v>58</v>
      </c>
      <c r="D1167" s="24" t="s">
        <v>193</v>
      </c>
      <c r="E1167" s="8">
        <v>46210</v>
      </c>
      <c r="F1167" s="8">
        <v>46218</v>
      </c>
      <c r="G1167" s="9">
        <f t="shared" si="216"/>
        <v>9</v>
      </c>
      <c r="H1167" s="10"/>
      <c r="I1167" s="10"/>
      <c r="J1167" s="10"/>
      <c r="K1167" s="11">
        <f t="shared" si="217"/>
        <v>0</v>
      </c>
      <c r="L1167" s="11">
        <f t="shared" si="218"/>
        <v>0</v>
      </c>
      <c r="M1167" s="12" t="str">
        <f t="shared" si="219"/>
        <v/>
      </c>
      <c r="N1167" s="11">
        <f t="shared" si="220"/>
        <v>0</v>
      </c>
      <c r="O1167" s="12" t="str">
        <f t="shared" si="221"/>
        <v/>
      </c>
      <c r="P1167" s="12" t="str">
        <f t="shared" si="222"/>
        <v/>
      </c>
      <c r="Q1167" s="13" t="str">
        <f t="shared" si="214"/>
        <v/>
      </c>
      <c r="R1167" s="13" t="str">
        <f t="shared" si="215"/>
        <v/>
      </c>
    </row>
    <row r="1168" spans="1:18" ht="15.75" customHeight="1" x14ac:dyDescent="0.3">
      <c r="A1168" s="7" t="s">
        <v>297</v>
      </c>
      <c r="B1168" s="7" t="s">
        <v>104</v>
      </c>
      <c r="C1168" s="24" t="s">
        <v>58</v>
      </c>
      <c r="D1168" s="24" t="s">
        <v>61</v>
      </c>
      <c r="E1168" s="8">
        <v>46210</v>
      </c>
      <c r="F1168" s="8">
        <v>46218</v>
      </c>
      <c r="G1168" s="9">
        <f t="shared" si="216"/>
        <v>9</v>
      </c>
      <c r="H1168" s="10"/>
      <c r="I1168" s="10"/>
      <c r="J1168" s="10"/>
      <c r="K1168" s="11">
        <f t="shared" si="217"/>
        <v>0</v>
      </c>
      <c r="L1168" s="11">
        <f t="shared" si="218"/>
        <v>0</v>
      </c>
      <c r="M1168" s="12" t="str">
        <f t="shared" si="219"/>
        <v/>
      </c>
      <c r="N1168" s="11">
        <f t="shared" si="220"/>
        <v>0</v>
      </c>
      <c r="O1168" s="12" t="str">
        <f t="shared" si="221"/>
        <v/>
      </c>
      <c r="P1168" s="12" t="str">
        <f t="shared" si="222"/>
        <v/>
      </c>
      <c r="Q1168" s="13" t="str">
        <f t="shared" si="214"/>
        <v/>
      </c>
      <c r="R1168" s="13" t="str">
        <f t="shared" si="215"/>
        <v/>
      </c>
    </row>
    <row r="1169" spans="1:18" ht="15.75" customHeight="1" x14ac:dyDescent="0.3">
      <c r="A1169" s="7" t="s">
        <v>297</v>
      </c>
      <c r="B1169" s="7" t="s">
        <v>208</v>
      </c>
      <c r="C1169" s="24" t="s">
        <v>58</v>
      </c>
      <c r="D1169" s="24" t="s">
        <v>107</v>
      </c>
      <c r="E1169" s="8">
        <v>46210</v>
      </c>
      <c r="F1169" s="8">
        <v>46218</v>
      </c>
      <c r="G1169" s="9">
        <f t="shared" si="216"/>
        <v>9</v>
      </c>
      <c r="H1169" s="10"/>
      <c r="I1169" s="10"/>
      <c r="J1169" s="10"/>
      <c r="K1169" s="11">
        <f t="shared" si="217"/>
        <v>0</v>
      </c>
      <c r="L1169" s="11">
        <f t="shared" si="218"/>
        <v>0</v>
      </c>
      <c r="M1169" s="12" t="str">
        <f t="shared" si="219"/>
        <v/>
      </c>
      <c r="N1169" s="11">
        <f t="shared" si="220"/>
        <v>0</v>
      </c>
      <c r="O1169" s="12" t="str">
        <f t="shared" si="221"/>
        <v/>
      </c>
      <c r="P1169" s="12" t="str">
        <f t="shared" si="222"/>
        <v/>
      </c>
      <c r="Q1169" s="13" t="str">
        <f t="shared" si="214"/>
        <v/>
      </c>
      <c r="R1169" s="13" t="str">
        <f t="shared" si="215"/>
        <v/>
      </c>
    </row>
    <row r="1170" spans="1:18" ht="15.75" customHeight="1" x14ac:dyDescent="0.3">
      <c r="A1170" s="7" t="s">
        <v>297</v>
      </c>
      <c r="B1170" s="7" t="s">
        <v>108</v>
      </c>
      <c r="C1170" s="24" t="s">
        <v>58</v>
      </c>
      <c r="D1170" s="24" t="s">
        <v>66</v>
      </c>
      <c r="E1170" s="8">
        <v>46210</v>
      </c>
      <c r="F1170" s="8">
        <v>46218</v>
      </c>
      <c r="G1170" s="9">
        <f t="shared" si="216"/>
        <v>9</v>
      </c>
      <c r="H1170" s="10"/>
      <c r="I1170" s="10"/>
      <c r="J1170" s="10"/>
      <c r="K1170" s="11">
        <f t="shared" si="217"/>
        <v>0</v>
      </c>
      <c r="L1170" s="11">
        <f t="shared" si="218"/>
        <v>0</v>
      </c>
      <c r="M1170" s="12" t="str">
        <f t="shared" si="219"/>
        <v/>
      </c>
      <c r="N1170" s="11">
        <f t="shared" si="220"/>
        <v>0</v>
      </c>
      <c r="O1170" s="12" t="str">
        <f t="shared" si="221"/>
        <v/>
      </c>
      <c r="P1170" s="12" t="str">
        <f t="shared" si="222"/>
        <v/>
      </c>
      <c r="Q1170" s="13" t="str">
        <f t="shared" si="214"/>
        <v/>
      </c>
      <c r="R1170" s="13" t="str">
        <f t="shared" si="215"/>
        <v/>
      </c>
    </row>
    <row r="1171" spans="1:18" ht="15.75" customHeight="1" x14ac:dyDescent="0.3">
      <c r="A1171" s="7" t="s">
        <v>297</v>
      </c>
      <c r="B1171" s="7" t="s">
        <v>109</v>
      </c>
      <c r="C1171" s="24" t="s">
        <v>58</v>
      </c>
      <c r="D1171" s="24" t="s">
        <v>68</v>
      </c>
      <c r="E1171" s="8">
        <v>46210</v>
      </c>
      <c r="F1171" s="8">
        <v>46218</v>
      </c>
      <c r="G1171" s="9">
        <f t="shared" si="216"/>
        <v>9</v>
      </c>
      <c r="H1171" s="10"/>
      <c r="I1171" s="10"/>
      <c r="J1171" s="10"/>
      <c r="K1171" s="11">
        <f t="shared" si="217"/>
        <v>0</v>
      </c>
      <c r="L1171" s="11">
        <f t="shared" si="218"/>
        <v>0</v>
      </c>
      <c r="M1171" s="12" t="str">
        <f t="shared" si="219"/>
        <v/>
      </c>
      <c r="N1171" s="11">
        <f t="shared" si="220"/>
        <v>0</v>
      </c>
      <c r="O1171" s="12" t="str">
        <f t="shared" si="221"/>
        <v/>
      </c>
      <c r="P1171" s="12" t="str">
        <f t="shared" si="222"/>
        <v/>
      </c>
      <c r="Q1171" s="13" t="str">
        <f t="shared" si="214"/>
        <v/>
      </c>
      <c r="R1171" s="13" t="str">
        <f t="shared" si="215"/>
        <v/>
      </c>
    </row>
    <row r="1172" spans="1:18" ht="15.75" customHeight="1" x14ac:dyDescent="0.3">
      <c r="A1172" s="7" t="s">
        <v>297</v>
      </c>
      <c r="B1172" s="7" t="s">
        <v>71</v>
      </c>
      <c r="C1172" s="24" t="s">
        <v>58</v>
      </c>
      <c r="D1172" s="24" t="s">
        <v>66</v>
      </c>
      <c r="E1172" s="8">
        <v>46210</v>
      </c>
      <c r="F1172" s="8">
        <v>46218</v>
      </c>
      <c r="G1172" s="9">
        <f t="shared" si="216"/>
        <v>9</v>
      </c>
      <c r="H1172" s="10"/>
      <c r="I1172" s="10"/>
      <c r="J1172" s="10"/>
      <c r="K1172" s="11">
        <f t="shared" si="217"/>
        <v>0</v>
      </c>
      <c r="L1172" s="11">
        <f t="shared" si="218"/>
        <v>0</v>
      </c>
      <c r="M1172" s="12" t="str">
        <f t="shared" si="219"/>
        <v/>
      </c>
      <c r="N1172" s="11">
        <f t="shared" si="220"/>
        <v>0</v>
      </c>
      <c r="O1172" s="12" t="str">
        <f t="shared" si="221"/>
        <v/>
      </c>
      <c r="P1172" s="12" t="str">
        <f t="shared" si="222"/>
        <v/>
      </c>
      <c r="Q1172" s="13" t="str">
        <f t="shared" si="214"/>
        <v/>
      </c>
      <c r="R1172" s="13" t="str">
        <f t="shared" si="215"/>
        <v/>
      </c>
    </row>
    <row r="1173" spans="1:18" ht="15.75" customHeight="1" x14ac:dyDescent="0.3">
      <c r="A1173" s="7" t="s">
        <v>297</v>
      </c>
      <c r="B1173" s="7" t="s">
        <v>72</v>
      </c>
      <c r="C1173" s="24" t="s">
        <v>58</v>
      </c>
      <c r="D1173" s="24" t="s">
        <v>68</v>
      </c>
      <c r="E1173" s="8">
        <v>46210</v>
      </c>
      <c r="F1173" s="8">
        <v>46218</v>
      </c>
      <c r="G1173" s="9">
        <f t="shared" si="216"/>
        <v>9</v>
      </c>
      <c r="H1173" s="10"/>
      <c r="I1173" s="10"/>
      <c r="J1173" s="10"/>
      <c r="K1173" s="11">
        <f t="shared" si="217"/>
        <v>0</v>
      </c>
      <c r="L1173" s="11">
        <f t="shared" si="218"/>
        <v>0</v>
      </c>
      <c r="M1173" s="12" t="str">
        <f t="shared" si="219"/>
        <v/>
      </c>
      <c r="N1173" s="11">
        <f t="shared" si="220"/>
        <v>0</v>
      </c>
      <c r="O1173" s="12" t="str">
        <f t="shared" si="221"/>
        <v/>
      </c>
      <c r="P1173" s="12" t="str">
        <f t="shared" si="222"/>
        <v/>
      </c>
      <c r="Q1173" s="13" t="str">
        <f t="shared" si="214"/>
        <v/>
      </c>
      <c r="R1173" s="13" t="str">
        <f t="shared" si="215"/>
        <v/>
      </c>
    </row>
    <row r="1174" spans="1:18" ht="15.75" customHeight="1" x14ac:dyDescent="0.3">
      <c r="A1174" s="7" t="s">
        <v>297</v>
      </c>
      <c r="B1174" s="7" t="s">
        <v>198</v>
      </c>
      <c r="C1174" s="24" t="s">
        <v>58</v>
      </c>
      <c r="D1174" s="24" t="s">
        <v>66</v>
      </c>
      <c r="E1174" s="8">
        <v>46210</v>
      </c>
      <c r="F1174" s="8">
        <v>46218</v>
      </c>
      <c r="G1174" s="9">
        <f t="shared" si="216"/>
        <v>9</v>
      </c>
      <c r="H1174" s="10"/>
      <c r="I1174" s="10"/>
      <c r="J1174" s="10"/>
      <c r="K1174" s="11">
        <f t="shared" si="217"/>
        <v>0</v>
      </c>
      <c r="L1174" s="11">
        <f t="shared" si="218"/>
        <v>0</v>
      </c>
      <c r="M1174" s="12" t="str">
        <f t="shared" si="219"/>
        <v/>
      </c>
      <c r="N1174" s="11">
        <f t="shared" si="220"/>
        <v>0</v>
      </c>
      <c r="O1174" s="12" t="str">
        <f t="shared" si="221"/>
        <v/>
      </c>
      <c r="P1174" s="12" t="str">
        <f t="shared" si="222"/>
        <v/>
      </c>
      <c r="Q1174" s="13" t="str">
        <f t="shared" si="214"/>
        <v/>
      </c>
      <c r="R1174" s="13" t="str">
        <f t="shared" si="215"/>
        <v/>
      </c>
    </row>
    <row r="1175" spans="1:18" ht="15.75" customHeight="1" x14ac:dyDescent="0.3">
      <c r="A1175" s="7" t="s">
        <v>297</v>
      </c>
      <c r="B1175" s="7" t="s">
        <v>199</v>
      </c>
      <c r="C1175" s="24" t="s">
        <v>58</v>
      </c>
      <c r="D1175" s="24" t="s">
        <v>68</v>
      </c>
      <c r="E1175" s="8">
        <v>46210</v>
      </c>
      <c r="F1175" s="8">
        <v>46218</v>
      </c>
      <c r="G1175" s="9">
        <f t="shared" si="216"/>
        <v>9</v>
      </c>
      <c r="H1175" s="10"/>
      <c r="I1175" s="10"/>
      <c r="J1175" s="10"/>
      <c r="K1175" s="11">
        <f t="shared" si="217"/>
        <v>0</v>
      </c>
      <c r="L1175" s="11">
        <f t="shared" si="218"/>
        <v>0</v>
      </c>
      <c r="M1175" s="12" t="str">
        <f t="shared" si="219"/>
        <v/>
      </c>
      <c r="N1175" s="11">
        <f t="shared" si="220"/>
        <v>0</v>
      </c>
      <c r="O1175" s="12" t="str">
        <f t="shared" si="221"/>
        <v/>
      </c>
      <c r="P1175" s="12" t="str">
        <f t="shared" si="222"/>
        <v/>
      </c>
      <c r="Q1175" s="13" t="str">
        <f t="shared" si="214"/>
        <v/>
      </c>
      <c r="R1175" s="13" t="str">
        <f t="shared" si="215"/>
        <v/>
      </c>
    </row>
    <row r="1176" spans="1:18" ht="15.75" customHeight="1" x14ac:dyDescent="0.3">
      <c r="A1176" s="7" t="s">
        <v>297</v>
      </c>
      <c r="B1176" s="7" t="s">
        <v>114</v>
      </c>
      <c r="C1176" s="24" t="s">
        <v>58</v>
      </c>
      <c r="D1176" s="24" t="s">
        <v>74</v>
      </c>
      <c r="E1176" s="8">
        <v>46210</v>
      </c>
      <c r="F1176" s="8">
        <v>46218</v>
      </c>
      <c r="G1176" s="9">
        <f t="shared" si="216"/>
        <v>9</v>
      </c>
      <c r="H1176" s="10"/>
      <c r="I1176" s="10"/>
      <c r="J1176" s="10"/>
      <c r="K1176" s="11">
        <f t="shared" si="217"/>
        <v>0</v>
      </c>
      <c r="L1176" s="11">
        <f t="shared" si="218"/>
        <v>0</v>
      </c>
      <c r="M1176" s="12" t="str">
        <f t="shared" si="219"/>
        <v/>
      </c>
      <c r="N1176" s="11">
        <f t="shared" si="220"/>
        <v>0</v>
      </c>
      <c r="O1176" s="12" t="str">
        <f t="shared" si="221"/>
        <v/>
      </c>
      <c r="P1176" s="12" t="str">
        <f t="shared" si="222"/>
        <v/>
      </c>
      <c r="Q1176" s="13" t="str">
        <f t="shared" si="214"/>
        <v/>
      </c>
      <c r="R1176" s="13" t="str">
        <f t="shared" si="215"/>
        <v/>
      </c>
    </row>
    <row r="1177" spans="1:18" ht="15.75" customHeight="1" x14ac:dyDescent="0.3">
      <c r="A1177" s="7" t="s">
        <v>297</v>
      </c>
      <c r="B1177" s="7" t="s">
        <v>115</v>
      </c>
      <c r="C1177" s="24" t="s">
        <v>58</v>
      </c>
      <c r="D1177" s="24" t="s">
        <v>74</v>
      </c>
      <c r="E1177" s="8">
        <v>46210</v>
      </c>
      <c r="F1177" s="8">
        <v>46218</v>
      </c>
      <c r="G1177" s="9">
        <f t="shared" si="216"/>
        <v>9</v>
      </c>
      <c r="H1177" s="10"/>
      <c r="I1177" s="10"/>
      <c r="J1177" s="10"/>
      <c r="K1177" s="11">
        <f t="shared" si="217"/>
        <v>0</v>
      </c>
      <c r="L1177" s="11">
        <f t="shared" si="218"/>
        <v>0</v>
      </c>
      <c r="M1177" s="12" t="str">
        <f t="shared" si="219"/>
        <v/>
      </c>
      <c r="N1177" s="11">
        <f t="shared" si="220"/>
        <v>0</v>
      </c>
      <c r="O1177" s="12" t="str">
        <f t="shared" si="221"/>
        <v/>
      </c>
      <c r="P1177" s="12" t="str">
        <f t="shared" si="222"/>
        <v/>
      </c>
      <c r="Q1177" s="13" t="str">
        <f t="shared" si="214"/>
        <v/>
      </c>
      <c r="R1177" s="13" t="str">
        <f t="shared" si="215"/>
        <v/>
      </c>
    </row>
    <row r="1178" spans="1:18" ht="15.75" customHeight="1" x14ac:dyDescent="0.3">
      <c r="A1178" s="7" t="s">
        <v>297</v>
      </c>
      <c r="B1178" s="7" t="s">
        <v>133</v>
      </c>
      <c r="C1178" s="24" t="s">
        <v>58</v>
      </c>
      <c r="D1178" s="24" t="s">
        <v>74</v>
      </c>
      <c r="E1178" s="8">
        <v>46210</v>
      </c>
      <c r="F1178" s="8">
        <v>46218</v>
      </c>
      <c r="G1178" s="9">
        <f t="shared" si="216"/>
        <v>9</v>
      </c>
      <c r="H1178" s="10"/>
      <c r="I1178" s="10"/>
      <c r="J1178" s="10"/>
      <c r="K1178" s="11">
        <f t="shared" si="217"/>
        <v>0</v>
      </c>
      <c r="L1178" s="11">
        <f t="shared" si="218"/>
        <v>0</v>
      </c>
      <c r="M1178" s="12" t="str">
        <f t="shared" si="219"/>
        <v/>
      </c>
      <c r="N1178" s="11">
        <f t="shared" si="220"/>
        <v>0</v>
      </c>
      <c r="O1178" s="12" t="str">
        <f t="shared" si="221"/>
        <v/>
      </c>
      <c r="P1178" s="12" t="str">
        <f t="shared" si="222"/>
        <v/>
      </c>
      <c r="Q1178" s="13" t="str">
        <f t="shared" si="214"/>
        <v/>
      </c>
      <c r="R1178" s="13" t="str">
        <f t="shared" si="215"/>
        <v/>
      </c>
    </row>
    <row r="1179" spans="1:18" ht="15.75" customHeight="1" x14ac:dyDescent="0.3">
      <c r="A1179" s="7" t="s">
        <v>297</v>
      </c>
      <c r="B1179" s="7" t="s">
        <v>210</v>
      </c>
      <c r="C1179" s="24" t="s">
        <v>58</v>
      </c>
      <c r="D1179" s="24" t="s">
        <v>59</v>
      </c>
      <c r="E1179" s="8">
        <v>46210</v>
      </c>
      <c r="F1179" s="8">
        <v>46218</v>
      </c>
      <c r="G1179" s="9">
        <f t="shared" si="216"/>
        <v>9</v>
      </c>
      <c r="H1179" s="10"/>
      <c r="I1179" s="10"/>
      <c r="J1179" s="10"/>
      <c r="K1179" s="11">
        <f t="shared" si="217"/>
        <v>0</v>
      </c>
      <c r="L1179" s="11">
        <f t="shared" si="218"/>
        <v>0</v>
      </c>
      <c r="M1179" s="12" t="str">
        <f t="shared" si="219"/>
        <v/>
      </c>
      <c r="N1179" s="11">
        <f t="shared" si="220"/>
        <v>0</v>
      </c>
      <c r="O1179" s="12" t="str">
        <f t="shared" si="221"/>
        <v/>
      </c>
      <c r="P1179" s="12" t="str">
        <f t="shared" si="222"/>
        <v/>
      </c>
      <c r="Q1179" s="13" t="str">
        <f t="shared" si="214"/>
        <v/>
      </c>
      <c r="R1179" s="13" t="str">
        <f t="shared" si="215"/>
        <v/>
      </c>
    </row>
    <row r="1180" spans="1:18" ht="15.75" customHeight="1" x14ac:dyDescent="0.3">
      <c r="A1180" s="7" t="s">
        <v>297</v>
      </c>
      <c r="B1180" s="7" t="s">
        <v>270</v>
      </c>
      <c r="C1180" s="24" t="s">
        <v>47</v>
      </c>
      <c r="D1180" s="24" t="s">
        <v>48</v>
      </c>
      <c r="E1180" s="8">
        <v>46210</v>
      </c>
      <c r="F1180" s="8">
        <v>46218</v>
      </c>
      <c r="G1180" s="9">
        <f t="shared" si="216"/>
        <v>9</v>
      </c>
      <c r="H1180" s="10"/>
      <c r="I1180" s="10"/>
      <c r="J1180" s="10"/>
      <c r="K1180" s="11">
        <f t="shared" si="217"/>
        <v>0</v>
      </c>
      <c r="L1180" s="11">
        <f t="shared" si="218"/>
        <v>0</v>
      </c>
      <c r="M1180" s="12" t="str">
        <f t="shared" si="219"/>
        <v/>
      </c>
      <c r="N1180" s="11">
        <f t="shared" si="220"/>
        <v>0</v>
      </c>
      <c r="O1180" s="12" t="str">
        <f t="shared" si="221"/>
        <v/>
      </c>
      <c r="P1180" s="12" t="str">
        <f t="shared" si="222"/>
        <v/>
      </c>
      <c r="Q1180" s="13" t="str">
        <f t="shared" si="214"/>
        <v/>
      </c>
      <c r="R1180" s="13" t="str">
        <f t="shared" si="215"/>
        <v/>
      </c>
    </row>
    <row r="1181" spans="1:18" ht="15.75" customHeight="1" x14ac:dyDescent="0.3">
      <c r="A1181" s="7" t="s">
        <v>297</v>
      </c>
      <c r="B1181" s="7" t="s">
        <v>271</v>
      </c>
      <c r="C1181" s="24" t="s">
        <v>47</v>
      </c>
      <c r="D1181" s="24" t="s">
        <v>48</v>
      </c>
      <c r="E1181" s="8">
        <v>46210</v>
      </c>
      <c r="F1181" s="8">
        <v>46218</v>
      </c>
      <c r="G1181" s="9">
        <f t="shared" si="216"/>
        <v>9</v>
      </c>
      <c r="H1181" s="10"/>
      <c r="I1181" s="10"/>
      <c r="J1181" s="10"/>
      <c r="K1181" s="11">
        <f t="shared" si="217"/>
        <v>0</v>
      </c>
      <c r="L1181" s="11">
        <f t="shared" si="218"/>
        <v>0</v>
      </c>
      <c r="M1181" s="12" t="str">
        <f t="shared" si="219"/>
        <v/>
      </c>
      <c r="N1181" s="11">
        <f t="shared" si="220"/>
        <v>0</v>
      </c>
      <c r="O1181" s="12" t="str">
        <f t="shared" si="221"/>
        <v/>
      </c>
      <c r="P1181" s="12" t="str">
        <f t="shared" si="222"/>
        <v/>
      </c>
      <c r="Q1181" s="13" t="str">
        <f t="shared" si="214"/>
        <v/>
      </c>
      <c r="R1181" s="13" t="str">
        <f t="shared" si="215"/>
        <v/>
      </c>
    </row>
    <row r="1182" spans="1:18" ht="15.75" customHeight="1" x14ac:dyDescent="0.3">
      <c r="A1182" s="7" t="s">
        <v>298</v>
      </c>
      <c r="B1182" s="7" t="s">
        <v>79</v>
      </c>
      <c r="C1182" s="24" t="s">
        <v>34</v>
      </c>
      <c r="D1182" s="24" t="s">
        <v>35</v>
      </c>
      <c r="E1182" s="8">
        <v>46219</v>
      </c>
      <c r="F1182" s="8">
        <v>46227</v>
      </c>
      <c r="G1182" s="9">
        <f t="shared" si="216"/>
        <v>9</v>
      </c>
      <c r="H1182" s="10"/>
      <c r="I1182" s="10"/>
      <c r="J1182" s="10"/>
      <c r="K1182" s="11">
        <f t="shared" si="217"/>
        <v>0</v>
      </c>
      <c r="L1182" s="11">
        <f t="shared" si="218"/>
        <v>0</v>
      </c>
      <c r="M1182" s="12" t="str">
        <f t="shared" si="219"/>
        <v/>
      </c>
      <c r="N1182" s="11">
        <f t="shared" si="220"/>
        <v>0</v>
      </c>
      <c r="O1182" s="12" t="str">
        <f t="shared" si="221"/>
        <v/>
      </c>
      <c r="P1182" s="12" t="str">
        <f t="shared" si="222"/>
        <v/>
      </c>
      <c r="Q1182" s="13" t="str">
        <f t="shared" si="214"/>
        <v/>
      </c>
      <c r="R1182" s="13" t="str">
        <f t="shared" si="215"/>
        <v/>
      </c>
    </row>
    <row r="1183" spans="1:18" ht="15.75" customHeight="1" x14ac:dyDescent="0.3">
      <c r="A1183" s="7" t="s">
        <v>298</v>
      </c>
      <c r="B1183" s="7" t="s">
        <v>83</v>
      </c>
      <c r="C1183" s="24" t="s">
        <v>34</v>
      </c>
      <c r="D1183" s="24" t="s">
        <v>35</v>
      </c>
      <c r="E1183" s="8">
        <v>46219</v>
      </c>
      <c r="F1183" s="8">
        <v>46227</v>
      </c>
      <c r="G1183" s="9">
        <f t="shared" si="216"/>
        <v>9</v>
      </c>
      <c r="H1183" s="10"/>
      <c r="I1183" s="10"/>
      <c r="J1183" s="10"/>
      <c r="K1183" s="11">
        <f t="shared" si="217"/>
        <v>0</v>
      </c>
      <c r="L1183" s="11">
        <f t="shared" si="218"/>
        <v>0</v>
      </c>
      <c r="M1183" s="12" t="str">
        <f t="shared" si="219"/>
        <v/>
      </c>
      <c r="N1183" s="11">
        <f t="shared" si="220"/>
        <v>0</v>
      </c>
      <c r="O1183" s="12" t="str">
        <f t="shared" si="221"/>
        <v/>
      </c>
      <c r="P1183" s="12" t="str">
        <f t="shared" si="222"/>
        <v/>
      </c>
      <c r="Q1183" s="13" t="str">
        <f t="shared" si="214"/>
        <v/>
      </c>
      <c r="R1183" s="13" t="str">
        <f t="shared" si="215"/>
        <v/>
      </c>
    </row>
    <row r="1184" spans="1:18" ht="15.75" customHeight="1" x14ac:dyDescent="0.3">
      <c r="A1184" s="7" t="s">
        <v>298</v>
      </c>
      <c r="B1184" s="7" t="s">
        <v>207</v>
      </c>
      <c r="C1184" s="24" t="s">
        <v>34</v>
      </c>
      <c r="D1184" s="24" t="s">
        <v>35</v>
      </c>
      <c r="E1184" s="8">
        <v>46219</v>
      </c>
      <c r="F1184" s="8">
        <v>46227</v>
      </c>
      <c r="G1184" s="9">
        <f t="shared" si="216"/>
        <v>9</v>
      </c>
      <c r="H1184" s="10"/>
      <c r="I1184" s="10"/>
      <c r="J1184" s="10"/>
      <c r="K1184" s="11">
        <f t="shared" si="217"/>
        <v>0</v>
      </c>
      <c r="L1184" s="11">
        <f t="shared" si="218"/>
        <v>0</v>
      </c>
      <c r="M1184" s="12" t="str">
        <f t="shared" si="219"/>
        <v/>
      </c>
      <c r="N1184" s="11">
        <f t="shared" si="220"/>
        <v>0</v>
      </c>
      <c r="O1184" s="12" t="str">
        <f t="shared" si="221"/>
        <v/>
      </c>
      <c r="P1184" s="12" t="str">
        <f t="shared" si="222"/>
        <v/>
      </c>
      <c r="Q1184" s="13" t="str">
        <f t="shared" si="214"/>
        <v/>
      </c>
      <c r="R1184" s="13" t="str">
        <f t="shared" si="215"/>
        <v/>
      </c>
    </row>
    <row r="1185" spans="1:18" ht="15.75" customHeight="1" x14ac:dyDescent="0.3">
      <c r="A1185" s="7" t="s">
        <v>298</v>
      </c>
      <c r="B1185" s="7" t="s">
        <v>227</v>
      </c>
      <c r="C1185" s="24" t="s">
        <v>34</v>
      </c>
      <c r="D1185" s="24" t="s">
        <v>91</v>
      </c>
      <c r="E1185" s="8">
        <v>46219</v>
      </c>
      <c r="F1185" s="8">
        <v>46227</v>
      </c>
      <c r="G1185" s="9">
        <f t="shared" si="216"/>
        <v>9</v>
      </c>
      <c r="H1185" s="10"/>
      <c r="I1185" s="10"/>
      <c r="J1185" s="10"/>
      <c r="K1185" s="11">
        <f t="shared" si="217"/>
        <v>0</v>
      </c>
      <c r="L1185" s="11">
        <f t="shared" si="218"/>
        <v>0</v>
      </c>
      <c r="M1185" s="12" t="str">
        <f t="shared" si="219"/>
        <v/>
      </c>
      <c r="N1185" s="11">
        <f t="shared" si="220"/>
        <v>0</v>
      </c>
      <c r="O1185" s="12" t="str">
        <f t="shared" si="221"/>
        <v/>
      </c>
      <c r="P1185" s="12" t="str">
        <f t="shared" si="222"/>
        <v/>
      </c>
      <c r="Q1185" s="13" t="str">
        <f t="shared" si="214"/>
        <v/>
      </c>
      <c r="R1185" s="13" t="str">
        <f t="shared" si="215"/>
        <v/>
      </c>
    </row>
    <row r="1186" spans="1:18" ht="15.75" customHeight="1" x14ac:dyDescent="0.3">
      <c r="A1186" s="7" t="s">
        <v>298</v>
      </c>
      <c r="B1186" s="7" t="s">
        <v>228</v>
      </c>
      <c r="C1186" s="24" t="s">
        <v>34</v>
      </c>
      <c r="D1186" s="24" t="s">
        <v>39</v>
      </c>
      <c r="E1186" s="8">
        <v>46219</v>
      </c>
      <c r="F1186" s="8">
        <v>46227</v>
      </c>
      <c r="G1186" s="9">
        <f t="shared" si="216"/>
        <v>9</v>
      </c>
      <c r="H1186" s="10"/>
      <c r="I1186" s="10"/>
      <c r="J1186" s="10"/>
      <c r="K1186" s="11">
        <f t="shared" si="217"/>
        <v>0</v>
      </c>
      <c r="L1186" s="11">
        <f t="shared" si="218"/>
        <v>0</v>
      </c>
      <c r="M1186" s="12" t="str">
        <f t="shared" si="219"/>
        <v/>
      </c>
      <c r="N1186" s="11">
        <f t="shared" si="220"/>
        <v>0</v>
      </c>
      <c r="O1186" s="12" t="str">
        <f t="shared" si="221"/>
        <v/>
      </c>
      <c r="P1186" s="12" t="str">
        <f t="shared" si="222"/>
        <v/>
      </c>
      <c r="Q1186" s="13" t="str">
        <f t="shared" si="214"/>
        <v/>
      </c>
      <c r="R1186" s="13" t="str">
        <f t="shared" si="215"/>
        <v/>
      </c>
    </row>
    <row r="1187" spans="1:18" ht="15.75" customHeight="1" x14ac:dyDescent="0.3">
      <c r="A1187" s="7" t="s">
        <v>298</v>
      </c>
      <c r="B1187" s="7" t="s">
        <v>229</v>
      </c>
      <c r="C1187" s="24" t="s">
        <v>34</v>
      </c>
      <c r="D1187" s="24" t="s">
        <v>39</v>
      </c>
      <c r="E1187" s="8">
        <v>46219</v>
      </c>
      <c r="F1187" s="8">
        <v>46227</v>
      </c>
      <c r="G1187" s="9">
        <f t="shared" si="216"/>
        <v>9</v>
      </c>
      <c r="H1187" s="10"/>
      <c r="I1187" s="10"/>
      <c r="J1187" s="10"/>
      <c r="K1187" s="11">
        <f t="shared" si="217"/>
        <v>0</v>
      </c>
      <c r="L1187" s="11">
        <f t="shared" si="218"/>
        <v>0</v>
      </c>
      <c r="M1187" s="12" t="str">
        <f t="shared" si="219"/>
        <v/>
      </c>
      <c r="N1187" s="11">
        <f t="shared" si="220"/>
        <v>0</v>
      </c>
      <c r="O1187" s="12" t="str">
        <f t="shared" si="221"/>
        <v/>
      </c>
      <c r="P1187" s="12" t="str">
        <f t="shared" si="222"/>
        <v/>
      </c>
      <c r="Q1187" s="13" t="str">
        <f t="shared" si="214"/>
        <v/>
      </c>
      <c r="R1187" s="13" t="str">
        <f t="shared" si="215"/>
        <v/>
      </c>
    </row>
    <row r="1188" spans="1:18" ht="15.75" customHeight="1" x14ac:dyDescent="0.3">
      <c r="A1188" s="7" t="s">
        <v>298</v>
      </c>
      <c r="B1188" s="7" t="s">
        <v>183</v>
      </c>
      <c r="C1188" s="24" t="s">
        <v>34</v>
      </c>
      <c r="D1188" s="24" t="s">
        <v>44</v>
      </c>
      <c r="E1188" s="8">
        <v>46219</v>
      </c>
      <c r="F1188" s="8">
        <v>46227</v>
      </c>
      <c r="G1188" s="9">
        <f t="shared" si="216"/>
        <v>9</v>
      </c>
      <c r="H1188" s="10"/>
      <c r="I1188" s="10"/>
      <c r="J1188" s="10"/>
      <c r="K1188" s="11">
        <f t="shared" si="217"/>
        <v>0</v>
      </c>
      <c r="L1188" s="11">
        <f t="shared" si="218"/>
        <v>0</v>
      </c>
      <c r="M1188" s="12" t="str">
        <f t="shared" si="219"/>
        <v/>
      </c>
      <c r="N1188" s="11">
        <f t="shared" si="220"/>
        <v>0</v>
      </c>
      <c r="O1188" s="12" t="str">
        <f t="shared" si="221"/>
        <v/>
      </c>
      <c r="P1188" s="12" t="str">
        <f t="shared" si="222"/>
        <v/>
      </c>
      <c r="Q1188" s="13" t="str">
        <f t="shared" si="214"/>
        <v/>
      </c>
      <c r="R1188" s="13" t="str">
        <f t="shared" si="215"/>
        <v/>
      </c>
    </row>
    <row r="1189" spans="1:18" ht="15.75" customHeight="1" x14ac:dyDescent="0.3">
      <c r="A1189" s="7" t="s">
        <v>298</v>
      </c>
      <c r="B1189" s="7" t="s">
        <v>278</v>
      </c>
      <c r="C1189" s="24" t="s">
        <v>34</v>
      </c>
      <c r="D1189" s="24" t="s">
        <v>433</v>
      </c>
      <c r="E1189" s="8">
        <v>46219</v>
      </c>
      <c r="F1189" s="8">
        <v>46227</v>
      </c>
      <c r="G1189" s="9">
        <f t="shared" si="216"/>
        <v>9</v>
      </c>
      <c r="H1189" s="10"/>
      <c r="I1189" s="10"/>
      <c r="J1189" s="10"/>
      <c r="K1189" s="11">
        <f t="shared" si="217"/>
        <v>0</v>
      </c>
      <c r="L1189" s="11">
        <f t="shared" si="218"/>
        <v>0</v>
      </c>
      <c r="M1189" s="12" t="str">
        <f t="shared" si="219"/>
        <v/>
      </c>
      <c r="N1189" s="11">
        <f t="shared" si="220"/>
        <v>0</v>
      </c>
      <c r="O1189" s="12" t="str">
        <f t="shared" si="221"/>
        <v/>
      </c>
      <c r="P1189" s="12" t="str">
        <f t="shared" si="222"/>
        <v/>
      </c>
      <c r="Q1189" s="13" t="str">
        <f t="shared" si="214"/>
        <v/>
      </c>
      <c r="R1189" s="13" t="str">
        <f t="shared" si="215"/>
        <v/>
      </c>
    </row>
    <row r="1190" spans="1:18" ht="15.75" customHeight="1" x14ac:dyDescent="0.3">
      <c r="A1190" s="7" t="s">
        <v>298</v>
      </c>
      <c r="B1190" s="7" t="s">
        <v>46</v>
      </c>
      <c r="C1190" s="24" t="s">
        <v>47</v>
      </c>
      <c r="D1190" s="24" t="s">
        <v>48</v>
      </c>
      <c r="E1190" s="8">
        <v>46219</v>
      </c>
      <c r="F1190" s="8">
        <v>46227</v>
      </c>
      <c r="G1190" s="9">
        <f t="shared" si="216"/>
        <v>9</v>
      </c>
      <c r="H1190" s="10"/>
      <c r="I1190" s="10"/>
      <c r="J1190" s="10"/>
      <c r="K1190" s="11">
        <f t="shared" si="217"/>
        <v>0</v>
      </c>
      <c r="L1190" s="11">
        <f t="shared" si="218"/>
        <v>0</v>
      </c>
      <c r="M1190" s="12" t="str">
        <f t="shared" si="219"/>
        <v/>
      </c>
      <c r="N1190" s="11">
        <f t="shared" si="220"/>
        <v>0</v>
      </c>
      <c r="O1190" s="12" t="str">
        <f t="shared" si="221"/>
        <v/>
      </c>
      <c r="P1190" s="12" t="str">
        <f t="shared" si="222"/>
        <v/>
      </c>
      <c r="Q1190" s="13" t="str">
        <f t="shared" si="214"/>
        <v/>
      </c>
      <c r="R1190" s="13" t="str">
        <f t="shared" si="215"/>
        <v/>
      </c>
    </row>
    <row r="1191" spans="1:18" ht="15.75" customHeight="1" x14ac:dyDescent="0.3">
      <c r="A1191" s="7" t="s">
        <v>298</v>
      </c>
      <c r="B1191" s="7" t="s">
        <v>49</v>
      </c>
      <c r="C1191" s="24" t="s">
        <v>47</v>
      </c>
      <c r="D1191" s="24" t="s">
        <v>48</v>
      </c>
      <c r="E1191" s="8">
        <v>46219</v>
      </c>
      <c r="F1191" s="8">
        <v>46227</v>
      </c>
      <c r="G1191" s="9">
        <f t="shared" si="216"/>
        <v>9</v>
      </c>
      <c r="H1191" s="10"/>
      <c r="I1191" s="10"/>
      <c r="J1191" s="10"/>
      <c r="K1191" s="11">
        <f t="shared" si="217"/>
        <v>0</v>
      </c>
      <c r="L1191" s="11">
        <f t="shared" si="218"/>
        <v>0</v>
      </c>
      <c r="M1191" s="12" t="str">
        <f t="shared" si="219"/>
        <v/>
      </c>
      <c r="N1191" s="11">
        <f t="shared" si="220"/>
        <v>0</v>
      </c>
      <c r="O1191" s="12" t="str">
        <f t="shared" si="221"/>
        <v/>
      </c>
      <c r="P1191" s="12" t="str">
        <f t="shared" si="222"/>
        <v/>
      </c>
      <c r="Q1191" s="13" t="str">
        <f t="shared" si="214"/>
        <v/>
      </c>
      <c r="R1191" s="13" t="str">
        <f t="shared" si="215"/>
        <v/>
      </c>
    </row>
    <row r="1192" spans="1:18" ht="15.75" customHeight="1" x14ac:dyDescent="0.3">
      <c r="A1192" s="7" t="s">
        <v>298</v>
      </c>
      <c r="B1192" s="7" t="s">
        <v>145</v>
      </c>
      <c r="C1192" s="24" t="s">
        <v>47</v>
      </c>
      <c r="D1192" s="24" t="s">
        <v>53</v>
      </c>
      <c r="E1192" s="8">
        <v>46219</v>
      </c>
      <c r="F1192" s="8">
        <v>46227</v>
      </c>
      <c r="G1192" s="9">
        <f t="shared" si="216"/>
        <v>9</v>
      </c>
      <c r="H1192" s="10"/>
      <c r="I1192" s="10"/>
      <c r="J1192" s="10"/>
      <c r="K1192" s="11">
        <f t="shared" si="217"/>
        <v>0</v>
      </c>
      <c r="L1192" s="11">
        <f t="shared" si="218"/>
        <v>0</v>
      </c>
      <c r="M1192" s="12" t="str">
        <f t="shared" si="219"/>
        <v/>
      </c>
      <c r="N1192" s="11">
        <f t="shared" si="220"/>
        <v>0</v>
      </c>
      <c r="O1192" s="12" t="str">
        <f t="shared" si="221"/>
        <v/>
      </c>
      <c r="P1192" s="12" t="str">
        <f t="shared" si="222"/>
        <v/>
      </c>
      <c r="Q1192" s="13" t="str">
        <f t="shared" si="214"/>
        <v/>
      </c>
      <c r="R1192" s="13" t="str">
        <f t="shared" si="215"/>
        <v/>
      </c>
    </row>
    <row r="1193" spans="1:18" ht="15.75" customHeight="1" x14ac:dyDescent="0.3">
      <c r="A1193" s="7" t="s">
        <v>298</v>
      </c>
      <c r="B1193" s="7" t="s">
        <v>252</v>
      </c>
      <c r="C1193" s="24" t="s">
        <v>47</v>
      </c>
      <c r="D1193" s="24" t="s">
        <v>253</v>
      </c>
      <c r="E1193" s="8">
        <v>46219</v>
      </c>
      <c r="F1193" s="8">
        <v>46227</v>
      </c>
      <c r="G1193" s="9">
        <f t="shared" si="216"/>
        <v>9</v>
      </c>
      <c r="H1193" s="10"/>
      <c r="I1193" s="10"/>
      <c r="J1193" s="10"/>
      <c r="K1193" s="11">
        <f t="shared" si="217"/>
        <v>0</v>
      </c>
      <c r="L1193" s="11">
        <f t="shared" si="218"/>
        <v>0</v>
      </c>
      <c r="M1193" s="12" t="str">
        <f t="shared" si="219"/>
        <v/>
      </c>
      <c r="N1193" s="11">
        <f t="shared" si="220"/>
        <v>0</v>
      </c>
      <c r="O1193" s="12" t="str">
        <f t="shared" si="221"/>
        <v/>
      </c>
      <c r="P1193" s="12" t="str">
        <f t="shared" si="222"/>
        <v/>
      </c>
      <c r="Q1193" s="13" t="str">
        <f t="shared" si="214"/>
        <v/>
      </c>
      <c r="R1193" s="13" t="str">
        <f t="shared" si="215"/>
        <v/>
      </c>
    </row>
    <row r="1194" spans="1:18" ht="15.75" customHeight="1" x14ac:dyDescent="0.3">
      <c r="A1194" s="7" t="s">
        <v>298</v>
      </c>
      <c r="B1194" s="7" t="s">
        <v>296</v>
      </c>
      <c r="C1194" s="24" t="s">
        <v>47</v>
      </c>
      <c r="D1194" s="24" t="s">
        <v>253</v>
      </c>
      <c r="E1194" s="8">
        <v>46219</v>
      </c>
      <c r="F1194" s="8">
        <v>46227</v>
      </c>
      <c r="G1194" s="9">
        <f t="shared" si="216"/>
        <v>9</v>
      </c>
      <c r="H1194" s="10"/>
      <c r="I1194" s="10"/>
      <c r="J1194" s="10"/>
      <c r="K1194" s="11">
        <f t="shared" si="217"/>
        <v>0</v>
      </c>
      <c r="L1194" s="11">
        <f t="shared" si="218"/>
        <v>0</v>
      </c>
      <c r="M1194" s="12" t="str">
        <f t="shared" si="219"/>
        <v/>
      </c>
      <c r="N1194" s="11">
        <f t="shared" si="220"/>
        <v>0</v>
      </c>
      <c r="O1194" s="12" t="str">
        <f t="shared" si="221"/>
        <v/>
      </c>
      <c r="P1194" s="12" t="str">
        <f t="shared" si="222"/>
        <v/>
      </c>
      <c r="Q1194" s="13" t="str">
        <f t="shared" si="214"/>
        <v/>
      </c>
      <c r="R1194" s="13" t="str">
        <f t="shared" si="215"/>
        <v/>
      </c>
    </row>
    <row r="1195" spans="1:18" ht="15.75" customHeight="1" x14ac:dyDescent="0.3">
      <c r="A1195" s="7" t="s">
        <v>298</v>
      </c>
      <c r="B1195" s="7" t="s">
        <v>250</v>
      </c>
      <c r="C1195" s="24" t="s">
        <v>47</v>
      </c>
      <c r="D1195" s="24" t="s">
        <v>56</v>
      </c>
      <c r="E1195" s="8">
        <v>46219</v>
      </c>
      <c r="F1195" s="8">
        <v>46227</v>
      </c>
      <c r="G1195" s="9">
        <f t="shared" si="216"/>
        <v>9</v>
      </c>
      <c r="H1195" s="10"/>
      <c r="I1195" s="10"/>
      <c r="J1195" s="10"/>
      <c r="K1195" s="11">
        <f t="shared" si="217"/>
        <v>0</v>
      </c>
      <c r="L1195" s="11">
        <f t="shared" si="218"/>
        <v>0</v>
      </c>
      <c r="M1195" s="12" t="str">
        <f t="shared" si="219"/>
        <v/>
      </c>
      <c r="N1195" s="11">
        <f t="shared" si="220"/>
        <v>0</v>
      </c>
      <c r="O1195" s="12" t="str">
        <f t="shared" si="221"/>
        <v/>
      </c>
      <c r="P1195" s="12" t="str">
        <f t="shared" si="222"/>
        <v/>
      </c>
      <c r="Q1195" s="13" t="str">
        <f t="shared" si="214"/>
        <v/>
      </c>
      <c r="R1195" s="13" t="str">
        <f t="shared" si="215"/>
        <v/>
      </c>
    </row>
    <row r="1196" spans="1:18" ht="15.75" customHeight="1" x14ac:dyDescent="0.3">
      <c r="A1196" s="7" t="s">
        <v>298</v>
      </c>
      <c r="B1196" s="7" t="s">
        <v>251</v>
      </c>
      <c r="C1196" s="24" t="s">
        <v>47</v>
      </c>
      <c r="D1196" s="24" t="s">
        <v>56</v>
      </c>
      <c r="E1196" s="8">
        <v>46219</v>
      </c>
      <c r="F1196" s="8">
        <v>46227</v>
      </c>
      <c r="G1196" s="9">
        <f t="shared" si="216"/>
        <v>9</v>
      </c>
      <c r="H1196" s="10"/>
      <c r="I1196" s="10"/>
      <c r="J1196" s="10"/>
      <c r="K1196" s="11">
        <f t="shared" si="217"/>
        <v>0</v>
      </c>
      <c r="L1196" s="11">
        <f t="shared" si="218"/>
        <v>0</v>
      </c>
      <c r="M1196" s="12" t="str">
        <f t="shared" si="219"/>
        <v/>
      </c>
      <c r="N1196" s="11">
        <f t="shared" si="220"/>
        <v>0</v>
      </c>
      <c r="O1196" s="12" t="str">
        <f t="shared" si="221"/>
        <v/>
      </c>
      <c r="P1196" s="12" t="str">
        <f t="shared" si="222"/>
        <v/>
      </c>
      <c r="Q1196" s="13" t="str">
        <f t="shared" si="214"/>
        <v/>
      </c>
      <c r="R1196" s="13" t="str">
        <f t="shared" si="215"/>
        <v/>
      </c>
    </row>
    <row r="1197" spans="1:18" ht="15.75" customHeight="1" x14ac:dyDescent="0.3">
      <c r="A1197" s="7" t="s">
        <v>298</v>
      </c>
      <c r="B1197" s="7" t="s">
        <v>299</v>
      </c>
      <c r="C1197" s="24" t="s">
        <v>47</v>
      </c>
      <c r="D1197" s="24" t="s">
        <v>448</v>
      </c>
      <c r="E1197" s="8">
        <v>46219</v>
      </c>
      <c r="F1197" s="8">
        <v>46227</v>
      </c>
      <c r="G1197" s="9">
        <f t="shared" si="216"/>
        <v>9</v>
      </c>
      <c r="H1197" s="10"/>
      <c r="I1197" s="10"/>
      <c r="J1197" s="10"/>
      <c r="K1197" s="11">
        <f t="shared" si="217"/>
        <v>0</v>
      </c>
      <c r="L1197" s="11">
        <f t="shared" si="218"/>
        <v>0</v>
      </c>
      <c r="M1197" s="12" t="str">
        <f t="shared" si="219"/>
        <v/>
      </c>
      <c r="N1197" s="11">
        <f t="shared" si="220"/>
        <v>0</v>
      </c>
      <c r="O1197" s="12" t="str">
        <f t="shared" si="221"/>
        <v/>
      </c>
      <c r="P1197" s="12" t="str">
        <f t="shared" si="222"/>
        <v/>
      </c>
      <c r="Q1197" s="13" t="str">
        <f t="shared" ref="Q1197:Q1260" si="223">IFERROR((I1197/H1197)*K1197,"")</f>
        <v/>
      </c>
      <c r="R1197" s="13" t="str">
        <f t="shared" ref="R1197:R1260" si="224">IFERROR((J1197/H1197)*K1197,"")</f>
        <v/>
      </c>
    </row>
    <row r="1198" spans="1:18" ht="15.75" customHeight="1" x14ac:dyDescent="0.3">
      <c r="A1198" s="7" t="s">
        <v>298</v>
      </c>
      <c r="B1198" s="7" t="s">
        <v>222</v>
      </c>
      <c r="C1198" s="24" t="s">
        <v>58</v>
      </c>
      <c r="D1198" s="24" t="s">
        <v>124</v>
      </c>
      <c r="E1198" s="8">
        <v>46219</v>
      </c>
      <c r="F1198" s="8">
        <v>46227</v>
      </c>
      <c r="G1198" s="9">
        <f t="shared" si="216"/>
        <v>9</v>
      </c>
      <c r="H1198" s="10"/>
      <c r="I1198" s="10"/>
      <c r="J1198" s="10"/>
      <c r="K1198" s="11">
        <f t="shared" si="217"/>
        <v>0</v>
      </c>
      <c r="L1198" s="11">
        <f t="shared" si="218"/>
        <v>0</v>
      </c>
      <c r="M1198" s="12" t="str">
        <f t="shared" si="219"/>
        <v/>
      </c>
      <c r="N1198" s="11">
        <f t="shared" si="220"/>
        <v>0</v>
      </c>
      <c r="O1198" s="12" t="str">
        <f t="shared" si="221"/>
        <v/>
      </c>
      <c r="P1198" s="12" t="str">
        <f t="shared" si="222"/>
        <v/>
      </c>
      <c r="Q1198" s="13" t="str">
        <f t="shared" si="223"/>
        <v/>
      </c>
      <c r="R1198" s="13" t="str">
        <f t="shared" si="224"/>
        <v/>
      </c>
    </row>
    <row r="1199" spans="1:18" ht="15.75" customHeight="1" x14ac:dyDescent="0.3">
      <c r="A1199" s="7" t="s">
        <v>298</v>
      </c>
      <c r="B1199" s="7" t="s">
        <v>300</v>
      </c>
      <c r="C1199" s="24" t="s">
        <v>58</v>
      </c>
      <c r="D1199" s="24" t="s">
        <v>103</v>
      </c>
      <c r="E1199" s="8">
        <v>46219</v>
      </c>
      <c r="F1199" s="8">
        <v>46227</v>
      </c>
      <c r="G1199" s="9">
        <f t="shared" si="216"/>
        <v>9</v>
      </c>
      <c r="H1199" s="10"/>
      <c r="I1199" s="10"/>
      <c r="J1199" s="10"/>
      <c r="K1199" s="11">
        <f t="shared" si="217"/>
        <v>0</v>
      </c>
      <c r="L1199" s="11">
        <f t="shared" si="218"/>
        <v>0</v>
      </c>
      <c r="M1199" s="12" t="str">
        <f t="shared" si="219"/>
        <v/>
      </c>
      <c r="N1199" s="11">
        <f t="shared" si="220"/>
        <v>0</v>
      </c>
      <c r="O1199" s="12" t="str">
        <f t="shared" si="221"/>
        <v/>
      </c>
      <c r="P1199" s="12" t="str">
        <f t="shared" si="222"/>
        <v/>
      </c>
      <c r="Q1199" s="13" t="str">
        <f t="shared" si="223"/>
        <v/>
      </c>
      <c r="R1199" s="13" t="str">
        <f t="shared" si="224"/>
        <v/>
      </c>
    </row>
    <row r="1200" spans="1:18" ht="15.75" customHeight="1" x14ac:dyDescent="0.3">
      <c r="A1200" s="7" t="s">
        <v>298</v>
      </c>
      <c r="B1200" s="7" t="s">
        <v>62</v>
      </c>
      <c r="C1200" s="24" t="s">
        <v>58</v>
      </c>
      <c r="D1200" s="24" t="s">
        <v>441</v>
      </c>
      <c r="E1200" s="8">
        <v>46219</v>
      </c>
      <c r="F1200" s="8">
        <v>46227</v>
      </c>
      <c r="G1200" s="9">
        <f t="shared" si="216"/>
        <v>9</v>
      </c>
      <c r="H1200" s="10"/>
      <c r="I1200" s="10"/>
      <c r="J1200" s="10"/>
      <c r="K1200" s="11">
        <f t="shared" si="217"/>
        <v>0</v>
      </c>
      <c r="L1200" s="11">
        <f t="shared" si="218"/>
        <v>0</v>
      </c>
      <c r="M1200" s="12" t="str">
        <f t="shared" si="219"/>
        <v/>
      </c>
      <c r="N1200" s="11">
        <f t="shared" si="220"/>
        <v>0</v>
      </c>
      <c r="O1200" s="12" t="str">
        <f t="shared" si="221"/>
        <v/>
      </c>
      <c r="P1200" s="12" t="str">
        <f t="shared" si="222"/>
        <v/>
      </c>
      <c r="Q1200" s="13" t="str">
        <f t="shared" si="223"/>
        <v/>
      </c>
      <c r="R1200" s="13" t="str">
        <f t="shared" si="224"/>
        <v/>
      </c>
    </row>
    <row r="1201" spans="1:18" ht="15.75" customHeight="1" x14ac:dyDescent="0.3">
      <c r="A1201" s="7" t="s">
        <v>298</v>
      </c>
      <c r="B1201" s="7" t="s">
        <v>128</v>
      </c>
      <c r="C1201" s="24" t="s">
        <v>58</v>
      </c>
      <c r="D1201" s="24" t="s">
        <v>61</v>
      </c>
      <c r="E1201" s="8">
        <v>46219</v>
      </c>
      <c r="F1201" s="8">
        <v>46227</v>
      </c>
      <c r="G1201" s="9">
        <f t="shared" si="216"/>
        <v>9</v>
      </c>
      <c r="H1201" s="10"/>
      <c r="I1201" s="10"/>
      <c r="J1201" s="10"/>
      <c r="K1201" s="11">
        <f t="shared" si="217"/>
        <v>0</v>
      </c>
      <c r="L1201" s="11">
        <f t="shared" si="218"/>
        <v>0</v>
      </c>
      <c r="M1201" s="12" t="str">
        <f t="shared" si="219"/>
        <v/>
      </c>
      <c r="N1201" s="11">
        <f t="shared" si="220"/>
        <v>0</v>
      </c>
      <c r="O1201" s="12" t="str">
        <f t="shared" si="221"/>
        <v/>
      </c>
      <c r="P1201" s="12" t="str">
        <f t="shared" si="222"/>
        <v/>
      </c>
      <c r="Q1201" s="13" t="str">
        <f t="shared" si="223"/>
        <v/>
      </c>
      <c r="R1201" s="13" t="str">
        <f t="shared" si="224"/>
        <v/>
      </c>
    </row>
    <row r="1202" spans="1:18" ht="15.75" customHeight="1" x14ac:dyDescent="0.3">
      <c r="A1202" s="7" t="s">
        <v>298</v>
      </c>
      <c r="B1202" s="7" t="s">
        <v>105</v>
      </c>
      <c r="C1202" s="24" t="s">
        <v>58</v>
      </c>
      <c r="D1202" s="24" t="s">
        <v>61</v>
      </c>
      <c r="E1202" s="8">
        <v>46219</v>
      </c>
      <c r="F1202" s="8">
        <v>46227</v>
      </c>
      <c r="G1202" s="9">
        <f t="shared" si="216"/>
        <v>9</v>
      </c>
      <c r="H1202" s="10"/>
      <c r="I1202" s="10"/>
      <c r="J1202" s="10"/>
      <c r="K1202" s="11">
        <f t="shared" si="217"/>
        <v>0</v>
      </c>
      <c r="L1202" s="11">
        <f t="shared" si="218"/>
        <v>0</v>
      </c>
      <c r="M1202" s="12" t="str">
        <f t="shared" si="219"/>
        <v/>
      </c>
      <c r="N1202" s="11">
        <f t="shared" si="220"/>
        <v>0</v>
      </c>
      <c r="O1202" s="12" t="str">
        <f t="shared" si="221"/>
        <v/>
      </c>
      <c r="P1202" s="12" t="str">
        <f t="shared" si="222"/>
        <v/>
      </c>
      <c r="Q1202" s="13" t="str">
        <f t="shared" si="223"/>
        <v/>
      </c>
      <c r="R1202" s="13" t="str">
        <f t="shared" si="224"/>
        <v/>
      </c>
    </row>
    <row r="1203" spans="1:18" ht="15.75" customHeight="1" x14ac:dyDescent="0.3">
      <c r="A1203" s="7" t="s">
        <v>298</v>
      </c>
      <c r="B1203" s="7" t="s">
        <v>209</v>
      </c>
      <c r="C1203" s="24" t="s">
        <v>58</v>
      </c>
      <c r="D1203" s="24" t="s">
        <v>107</v>
      </c>
      <c r="E1203" s="8">
        <v>46219</v>
      </c>
      <c r="F1203" s="8">
        <v>46227</v>
      </c>
      <c r="G1203" s="9">
        <f t="shared" ref="G1203:G1266" si="225">F1203-E1203+1</f>
        <v>9</v>
      </c>
      <c r="H1203" s="10"/>
      <c r="I1203" s="10"/>
      <c r="J1203" s="10"/>
      <c r="K1203" s="11">
        <f t="shared" si="217"/>
        <v>0</v>
      </c>
      <c r="L1203" s="11">
        <f t="shared" si="218"/>
        <v>0</v>
      </c>
      <c r="M1203" s="12" t="str">
        <f t="shared" si="219"/>
        <v/>
      </c>
      <c r="N1203" s="11">
        <f t="shared" si="220"/>
        <v>0</v>
      </c>
      <c r="O1203" s="12" t="str">
        <f t="shared" si="221"/>
        <v/>
      </c>
      <c r="P1203" s="12" t="str">
        <f t="shared" si="222"/>
        <v/>
      </c>
      <c r="Q1203" s="13" t="str">
        <f t="shared" si="223"/>
        <v/>
      </c>
      <c r="R1203" s="13" t="str">
        <f t="shared" si="224"/>
        <v/>
      </c>
    </row>
    <row r="1204" spans="1:18" ht="15.75" customHeight="1" x14ac:dyDescent="0.3">
      <c r="A1204" s="7" t="s">
        <v>298</v>
      </c>
      <c r="B1204" s="7" t="s">
        <v>63</v>
      </c>
      <c r="C1204" s="24" t="s">
        <v>58</v>
      </c>
      <c r="D1204" s="24" t="s">
        <v>64</v>
      </c>
      <c r="E1204" s="8">
        <v>46219</v>
      </c>
      <c r="F1204" s="8">
        <v>46227</v>
      </c>
      <c r="G1204" s="9">
        <f t="shared" si="225"/>
        <v>9</v>
      </c>
      <c r="H1204" s="10"/>
      <c r="I1204" s="10"/>
      <c r="J1204" s="10"/>
      <c r="K1204" s="11">
        <f t="shared" si="217"/>
        <v>0</v>
      </c>
      <c r="L1204" s="11">
        <f t="shared" si="218"/>
        <v>0</v>
      </c>
      <c r="M1204" s="12" t="str">
        <f t="shared" si="219"/>
        <v/>
      </c>
      <c r="N1204" s="11">
        <f t="shared" si="220"/>
        <v>0</v>
      </c>
      <c r="O1204" s="12" t="str">
        <f t="shared" si="221"/>
        <v/>
      </c>
      <c r="P1204" s="12" t="str">
        <f t="shared" si="222"/>
        <v/>
      </c>
      <c r="Q1204" s="13" t="str">
        <f t="shared" si="223"/>
        <v/>
      </c>
      <c r="R1204" s="13" t="str">
        <f t="shared" si="224"/>
        <v/>
      </c>
    </row>
    <row r="1205" spans="1:18" ht="15.75" customHeight="1" x14ac:dyDescent="0.3">
      <c r="A1205" s="7" t="s">
        <v>298</v>
      </c>
      <c r="B1205" s="7" t="s">
        <v>196</v>
      </c>
      <c r="C1205" s="24" t="s">
        <v>58</v>
      </c>
      <c r="D1205" s="24" t="s">
        <v>66</v>
      </c>
      <c r="E1205" s="8">
        <v>46219</v>
      </c>
      <c r="F1205" s="8">
        <v>46227</v>
      </c>
      <c r="G1205" s="9">
        <f t="shared" si="225"/>
        <v>9</v>
      </c>
      <c r="H1205" s="10"/>
      <c r="I1205" s="10"/>
      <c r="J1205" s="10"/>
      <c r="K1205" s="11">
        <f t="shared" si="217"/>
        <v>0</v>
      </c>
      <c r="L1205" s="11">
        <f t="shared" si="218"/>
        <v>0</v>
      </c>
      <c r="M1205" s="12" t="str">
        <f t="shared" si="219"/>
        <v/>
      </c>
      <c r="N1205" s="11">
        <f t="shared" si="220"/>
        <v>0</v>
      </c>
      <c r="O1205" s="12" t="str">
        <f t="shared" si="221"/>
        <v/>
      </c>
      <c r="P1205" s="12" t="str">
        <f t="shared" si="222"/>
        <v/>
      </c>
      <c r="Q1205" s="13" t="str">
        <f t="shared" si="223"/>
        <v/>
      </c>
      <c r="R1205" s="13" t="str">
        <f t="shared" si="224"/>
        <v/>
      </c>
    </row>
    <row r="1206" spans="1:18" ht="15.75" customHeight="1" x14ac:dyDescent="0.3">
      <c r="A1206" s="7" t="s">
        <v>298</v>
      </c>
      <c r="B1206" s="7" t="s">
        <v>197</v>
      </c>
      <c r="C1206" s="24" t="s">
        <v>58</v>
      </c>
      <c r="D1206" s="24" t="s">
        <v>68</v>
      </c>
      <c r="E1206" s="8">
        <v>46219</v>
      </c>
      <c r="F1206" s="8">
        <v>46227</v>
      </c>
      <c r="G1206" s="9">
        <f t="shared" si="225"/>
        <v>9</v>
      </c>
      <c r="H1206" s="10"/>
      <c r="I1206" s="10"/>
      <c r="J1206" s="10"/>
      <c r="K1206" s="11">
        <f t="shared" si="217"/>
        <v>0</v>
      </c>
      <c r="L1206" s="11">
        <f t="shared" si="218"/>
        <v>0</v>
      </c>
      <c r="M1206" s="12" t="str">
        <f t="shared" si="219"/>
        <v/>
      </c>
      <c r="N1206" s="11">
        <f t="shared" si="220"/>
        <v>0</v>
      </c>
      <c r="O1206" s="12" t="str">
        <f t="shared" si="221"/>
        <v/>
      </c>
      <c r="P1206" s="12" t="str">
        <f t="shared" si="222"/>
        <v/>
      </c>
      <c r="Q1206" s="13" t="str">
        <f t="shared" si="223"/>
        <v/>
      </c>
      <c r="R1206" s="13" t="str">
        <f t="shared" si="224"/>
        <v/>
      </c>
    </row>
    <row r="1207" spans="1:18" ht="15.75" customHeight="1" x14ac:dyDescent="0.3">
      <c r="A1207" s="7" t="s">
        <v>298</v>
      </c>
      <c r="B1207" s="7" t="s">
        <v>200</v>
      </c>
      <c r="C1207" s="24" t="s">
        <v>58</v>
      </c>
      <c r="D1207" s="24" t="s">
        <v>66</v>
      </c>
      <c r="E1207" s="8">
        <v>46219</v>
      </c>
      <c r="F1207" s="8">
        <v>46227</v>
      </c>
      <c r="G1207" s="9">
        <f t="shared" si="225"/>
        <v>9</v>
      </c>
      <c r="H1207" s="10"/>
      <c r="I1207" s="10"/>
      <c r="J1207" s="10"/>
      <c r="K1207" s="11">
        <f t="shared" si="217"/>
        <v>0</v>
      </c>
      <c r="L1207" s="11">
        <f t="shared" si="218"/>
        <v>0</v>
      </c>
      <c r="M1207" s="12" t="str">
        <f t="shared" si="219"/>
        <v/>
      </c>
      <c r="N1207" s="11">
        <f t="shared" si="220"/>
        <v>0</v>
      </c>
      <c r="O1207" s="12" t="str">
        <f t="shared" si="221"/>
        <v/>
      </c>
      <c r="P1207" s="12" t="str">
        <f t="shared" si="222"/>
        <v/>
      </c>
      <c r="Q1207" s="13" t="str">
        <f t="shared" si="223"/>
        <v/>
      </c>
      <c r="R1207" s="13" t="str">
        <f t="shared" si="224"/>
        <v/>
      </c>
    </row>
    <row r="1208" spans="1:18" ht="15.75" customHeight="1" x14ac:dyDescent="0.3">
      <c r="A1208" s="7" t="s">
        <v>298</v>
      </c>
      <c r="B1208" s="7" t="s">
        <v>201</v>
      </c>
      <c r="C1208" s="24" t="s">
        <v>58</v>
      </c>
      <c r="D1208" s="24" t="s">
        <v>68</v>
      </c>
      <c r="E1208" s="8">
        <v>46219</v>
      </c>
      <c r="F1208" s="8">
        <v>46227</v>
      </c>
      <c r="G1208" s="9">
        <f t="shared" si="225"/>
        <v>9</v>
      </c>
      <c r="H1208" s="10"/>
      <c r="I1208" s="10"/>
      <c r="J1208" s="10"/>
      <c r="K1208" s="11">
        <f t="shared" ref="K1208:K1271" si="226">IFERROR(H1208/G1208,"")</f>
        <v>0</v>
      </c>
      <c r="L1208" s="11">
        <f t="shared" ref="L1208:L1271" si="227">IFERROR(I1208/G1208,"")</f>
        <v>0</v>
      </c>
      <c r="M1208" s="12" t="str">
        <f t="shared" ref="M1208:M1271" si="228">IFERROR(I1208/H1208,"")</f>
        <v/>
      </c>
      <c r="N1208" s="11">
        <f t="shared" ref="N1208:N1271" si="229">IFERROR(J1208/G1208,"")</f>
        <v>0</v>
      </c>
      <c r="O1208" s="12" t="str">
        <f t="shared" ref="O1208:O1271" si="230">IFERROR(J1208/I1208,"")</f>
        <v/>
      </c>
      <c r="P1208" s="12" t="str">
        <f t="shared" ref="P1208:P1271" si="231">IFERROR(J1208/H1208,"")</f>
        <v/>
      </c>
      <c r="Q1208" s="13" t="str">
        <f t="shared" si="223"/>
        <v/>
      </c>
      <c r="R1208" s="13" t="str">
        <f t="shared" si="224"/>
        <v/>
      </c>
    </row>
    <row r="1209" spans="1:18" ht="15.75" customHeight="1" x14ac:dyDescent="0.3">
      <c r="A1209" s="7" t="s">
        <v>298</v>
      </c>
      <c r="B1209" s="7" t="s">
        <v>138</v>
      </c>
      <c r="C1209" s="24" t="s">
        <v>58</v>
      </c>
      <c r="D1209" s="24" t="s">
        <v>66</v>
      </c>
      <c r="E1209" s="8">
        <v>46219</v>
      </c>
      <c r="F1209" s="8">
        <v>46227</v>
      </c>
      <c r="G1209" s="9">
        <f t="shared" si="225"/>
        <v>9</v>
      </c>
      <c r="H1209" s="10"/>
      <c r="I1209" s="10"/>
      <c r="J1209" s="10"/>
      <c r="K1209" s="11">
        <f t="shared" si="226"/>
        <v>0</v>
      </c>
      <c r="L1209" s="11">
        <f t="shared" si="227"/>
        <v>0</v>
      </c>
      <c r="M1209" s="12" t="str">
        <f t="shared" si="228"/>
        <v/>
      </c>
      <c r="N1209" s="11">
        <f t="shared" si="229"/>
        <v>0</v>
      </c>
      <c r="O1209" s="12" t="str">
        <f t="shared" si="230"/>
        <v/>
      </c>
      <c r="P1209" s="12" t="str">
        <f t="shared" si="231"/>
        <v/>
      </c>
      <c r="Q1209" s="13" t="str">
        <f t="shared" si="223"/>
        <v/>
      </c>
      <c r="R1209" s="13" t="str">
        <f t="shared" si="224"/>
        <v/>
      </c>
    </row>
    <row r="1210" spans="1:18" ht="15.75" customHeight="1" x14ac:dyDescent="0.3">
      <c r="A1210" s="7" t="s">
        <v>298</v>
      </c>
      <c r="B1210" s="7" t="s">
        <v>139</v>
      </c>
      <c r="C1210" s="24" t="s">
        <v>58</v>
      </c>
      <c r="D1210" s="24" t="s">
        <v>68</v>
      </c>
      <c r="E1210" s="8">
        <v>46219</v>
      </c>
      <c r="F1210" s="8">
        <v>46227</v>
      </c>
      <c r="G1210" s="9">
        <f t="shared" si="225"/>
        <v>9</v>
      </c>
      <c r="H1210" s="10"/>
      <c r="I1210" s="10"/>
      <c r="J1210" s="10"/>
      <c r="K1210" s="11">
        <f t="shared" si="226"/>
        <v>0</v>
      </c>
      <c r="L1210" s="11">
        <f t="shared" si="227"/>
        <v>0</v>
      </c>
      <c r="M1210" s="12" t="str">
        <f t="shared" si="228"/>
        <v/>
      </c>
      <c r="N1210" s="11">
        <f t="shared" si="229"/>
        <v>0</v>
      </c>
      <c r="O1210" s="12" t="str">
        <f t="shared" si="230"/>
        <v/>
      </c>
      <c r="P1210" s="12" t="str">
        <f t="shared" si="231"/>
        <v/>
      </c>
      <c r="Q1210" s="13" t="str">
        <f t="shared" si="223"/>
        <v/>
      </c>
      <c r="R1210" s="13" t="str">
        <f t="shared" si="224"/>
        <v/>
      </c>
    </row>
    <row r="1211" spans="1:18" ht="15.75" customHeight="1" x14ac:dyDescent="0.3">
      <c r="A1211" s="7" t="s">
        <v>298</v>
      </c>
      <c r="B1211" s="7" t="s">
        <v>260</v>
      </c>
      <c r="C1211" s="24" t="s">
        <v>58</v>
      </c>
      <c r="D1211" s="24" t="s">
        <v>66</v>
      </c>
      <c r="E1211" s="8">
        <v>46219</v>
      </c>
      <c r="F1211" s="8">
        <v>46227</v>
      </c>
      <c r="G1211" s="9">
        <f t="shared" si="225"/>
        <v>9</v>
      </c>
      <c r="H1211" s="10"/>
      <c r="I1211" s="10"/>
      <c r="J1211" s="10"/>
      <c r="K1211" s="11">
        <f t="shared" si="226"/>
        <v>0</v>
      </c>
      <c r="L1211" s="11">
        <f t="shared" si="227"/>
        <v>0</v>
      </c>
      <c r="M1211" s="12" t="str">
        <f t="shared" si="228"/>
        <v/>
      </c>
      <c r="N1211" s="11">
        <f t="shared" si="229"/>
        <v>0</v>
      </c>
      <c r="O1211" s="12" t="str">
        <f t="shared" si="230"/>
        <v/>
      </c>
      <c r="P1211" s="12" t="str">
        <f t="shared" si="231"/>
        <v/>
      </c>
      <c r="Q1211" s="13" t="str">
        <f t="shared" si="223"/>
        <v/>
      </c>
      <c r="R1211" s="13" t="str">
        <f t="shared" si="224"/>
        <v/>
      </c>
    </row>
    <row r="1212" spans="1:18" ht="15.75" customHeight="1" x14ac:dyDescent="0.3">
      <c r="A1212" s="7" t="s">
        <v>298</v>
      </c>
      <c r="B1212" s="7" t="s">
        <v>73</v>
      </c>
      <c r="C1212" s="24" t="s">
        <v>58</v>
      </c>
      <c r="D1212" s="24" t="s">
        <v>74</v>
      </c>
      <c r="E1212" s="8">
        <v>46219</v>
      </c>
      <c r="F1212" s="8">
        <v>46227</v>
      </c>
      <c r="G1212" s="9">
        <f t="shared" si="225"/>
        <v>9</v>
      </c>
      <c r="H1212" s="10"/>
      <c r="I1212" s="10"/>
      <c r="J1212" s="10"/>
      <c r="K1212" s="11">
        <f t="shared" si="226"/>
        <v>0</v>
      </c>
      <c r="L1212" s="11">
        <f t="shared" si="227"/>
        <v>0</v>
      </c>
      <c r="M1212" s="12" t="str">
        <f t="shared" si="228"/>
        <v/>
      </c>
      <c r="N1212" s="11">
        <f t="shared" si="229"/>
        <v>0</v>
      </c>
      <c r="O1212" s="12" t="str">
        <f t="shared" si="230"/>
        <v/>
      </c>
      <c r="P1212" s="12" t="str">
        <f t="shared" si="231"/>
        <v/>
      </c>
      <c r="Q1212" s="13" t="str">
        <f t="shared" si="223"/>
        <v/>
      </c>
      <c r="R1212" s="13" t="str">
        <f t="shared" si="224"/>
        <v/>
      </c>
    </row>
    <row r="1213" spans="1:18" ht="15.75" customHeight="1" x14ac:dyDescent="0.3">
      <c r="A1213" s="7" t="s">
        <v>298</v>
      </c>
      <c r="B1213" s="7" t="s">
        <v>75</v>
      </c>
      <c r="C1213" s="24" t="s">
        <v>58</v>
      </c>
      <c r="D1213" s="24" t="s">
        <v>74</v>
      </c>
      <c r="E1213" s="8">
        <v>46219</v>
      </c>
      <c r="F1213" s="8">
        <v>46227</v>
      </c>
      <c r="G1213" s="9">
        <f t="shared" si="225"/>
        <v>9</v>
      </c>
      <c r="H1213" s="10"/>
      <c r="I1213" s="10"/>
      <c r="J1213" s="10"/>
      <c r="K1213" s="11">
        <f t="shared" si="226"/>
        <v>0</v>
      </c>
      <c r="L1213" s="11">
        <f t="shared" si="227"/>
        <v>0</v>
      </c>
      <c r="M1213" s="12" t="str">
        <f t="shared" si="228"/>
        <v/>
      </c>
      <c r="N1213" s="11">
        <f t="shared" si="229"/>
        <v>0</v>
      </c>
      <c r="O1213" s="12" t="str">
        <f t="shared" si="230"/>
        <v/>
      </c>
      <c r="P1213" s="12" t="str">
        <f t="shared" si="231"/>
        <v/>
      </c>
      <c r="Q1213" s="13" t="str">
        <f t="shared" si="223"/>
        <v/>
      </c>
      <c r="R1213" s="13" t="str">
        <f t="shared" si="224"/>
        <v/>
      </c>
    </row>
    <row r="1214" spans="1:18" ht="15.75" customHeight="1" x14ac:dyDescent="0.3">
      <c r="A1214" s="7" t="s">
        <v>298</v>
      </c>
      <c r="B1214" s="7" t="s">
        <v>155</v>
      </c>
      <c r="C1214" s="24" t="s">
        <v>58</v>
      </c>
      <c r="D1214" s="24" t="s">
        <v>59</v>
      </c>
      <c r="E1214" s="8">
        <v>46219</v>
      </c>
      <c r="F1214" s="8">
        <v>46227</v>
      </c>
      <c r="G1214" s="9">
        <f t="shared" si="225"/>
        <v>9</v>
      </c>
      <c r="H1214" s="10"/>
      <c r="I1214" s="10"/>
      <c r="J1214" s="10"/>
      <c r="K1214" s="11">
        <f t="shared" si="226"/>
        <v>0</v>
      </c>
      <c r="L1214" s="11">
        <f t="shared" si="227"/>
        <v>0</v>
      </c>
      <c r="M1214" s="12" t="str">
        <f t="shared" si="228"/>
        <v/>
      </c>
      <c r="N1214" s="11">
        <f t="shared" si="229"/>
        <v>0</v>
      </c>
      <c r="O1214" s="12" t="str">
        <f t="shared" si="230"/>
        <v/>
      </c>
      <c r="P1214" s="12" t="str">
        <f t="shared" si="231"/>
        <v/>
      </c>
      <c r="Q1214" s="13" t="str">
        <f t="shared" si="223"/>
        <v/>
      </c>
      <c r="R1214" s="13" t="str">
        <f t="shared" si="224"/>
        <v/>
      </c>
    </row>
    <row r="1215" spans="1:18" ht="15.75" customHeight="1" x14ac:dyDescent="0.3">
      <c r="A1215" s="7" t="s">
        <v>298</v>
      </c>
      <c r="B1215" s="7" t="s">
        <v>211</v>
      </c>
      <c r="C1215" s="24" t="s">
        <v>58</v>
      </c>
      <c r="D1215" s="24" t="s">
        <v>59</v>
      </c>
      <c r="E1215" s="8">
        <v>46219</v>
      </c>
      <c r="F1215" s="8">
        <v>46227</v>
      </c>
      <c r="G1215" s="9">
        <f t="shared" si="225"/>
        <v>9</v>
      </c>
      <c r="H1215" s="10"/>
      <c r="I1215" s="10"/>
      <c r="J1215" s="10"/>
      <c r="K1215" s="11">
        <f t="shared" si="226"/>
        <v>0</v>
      </c>
      <c r="L1215" s="11">
        <f t="shared" si="227"/>
        <v>0</v>
      </c>
      <c r="M1215" s="12" t="str">
        <f t="shared" si="228"/>
        <v/>
      </c>
      <c r="N1215" s="11">
        <f t="shared" si="229"/>
        <v>0</v>
      </c>
      <c r="O1215" s="12" t="str">
        <f t="shared" si="230"/>
        <v/>
      </c>
      <c r="P1215" s="12" t="str">
        <f t="shared" si="231"/>
        <v/>
      </c>
      <c r="Q1215" s="13" t="str">
        <f t="shared" si="223"/>
        <v/>
      </c>
      <c r="R1215" s="13" t="str">
        <f t="shared" si="224"/>
        <v/>
      </c>
    </row>
    <row r="1216" spans="1:18" ht="15.75" customHeight="1" x14ac:dyDescent="0.3">
      <c r="A1216" s="7" t="s">
        <v>298</v>
      </c>
      <c r="B1216" s="7" t="s">
        <v>33</v>
      </c>
      <c r="C1216" s="24" t="s">
        <v>34</v>
      </c>
      <c r="D1216" s="24" t="s">
        <v>35</v>
      </c>
      <c r="E1216" s="8">
        <v>46219</v>
      </c>
      <c r="F1216" s="8">
        <v>46227</v>
      </c>
      <c r="G1216" s="9">
        <f t="shared" si="225"/>
        <v>9</v>
      </c>
      <c r="H1216" s="10"/>
      <c r="I1216" s="10"/>
      <c r="J1216" s="10"/>
      <c r="K1216" s="11">
        <f t="shared" si="226"/>
        <v>0</v>
      </c>
      <c r="L1216" s="11">
        <f t="shared" si="227"/>
        <v>0</v>
      </c>
      <c r="M1216" s="12" t="str">
        <f t="shared" si="228"/>
        <v/>
      </c>
      <c r="N1216" s="11">
        <f t="shared" si="229"/>
        <v>0</v>
      </c>
      <c r="O1216" s="12" t="str">
        <f t="shared" si="230"/>
        <v/>
      </c>
      <c r="P1216" s="12" t="str">
        <f t="shared" si="231"/>
        <v/>
      </c>
      <c r="Q1216" s="13" t="str">
        <f t="shared" si="223"/>
        <v/>
      </c>
      <c r="R1216" s="13" t="str">
        <f t="shared" si="224"/>
        <v/>
      </c>
    </row>
    <row r="1217" spans="1:18" ht="15.75" customHeight="1" x14ac:dyDescent="0.3">
      <c r="A1217" s="7" t="s">
        <v>298</v>
      </c>
      <c r="B1217" s="7" t="s">
        <v>36</v>
      </c>
      <c r="C1217" s="24" t="s">
        <v>34</v>
      </c>
      <c r="D1217" s="24" t="s">
        <v>35</v>
      </c>
      <c r="E1217" s="8">
        <v>46219</v>
      </c>
      <c r="F1217" s="8">
        <v>46227</v>
      </c>
      <c r="G1217" s="9">
        <f t="shared" si="225"/>
        <v>9</v>
      </c>
      <c r="H1217" s="10"/>
      <c r="I1217" s="10"/>
      <c r="J1217" s="10"/>
      <c r="K1217" s="11">
        <f t="shared" si="226"/>
        <v>0</v>
      </c>
      <c r="L1217" s="11">
        <f t="shared" si="227"/>
        <v>0</v>
      </c>
      <c r="M1217" s="12" t="str">
        <f t="shared" si="228"/>
        <v/>
      </c>
      <c r="N1217" s="11">
        <f t="shared" si="229"/>
        <v>0</v>
      </c>
      <c r="O1217" s="12" t="str">
        <f t="shared" si="230"/>
        <v/>
      </c>
      <c r="P1217" s="12" t="str">
        <f t="shared" si="231"/>
        <v/>
      </c>
      <c r="Q1217" s="13" t="str">
        <f t="shared" si="223"/>
        <v/>
      </c>
      <c r="R1217" s="13" t="str">
        <f t="shared" si="224"/>
        <v/>
      </c>
    </row>
    <row r="1218" spans="1:18" ht="15.75" customHeight="1" x14ac:dyDescent="0.3">
      <c r="A1218" s="7" t="s">
        <v>298</v>
      </c>
      <c r="B1218" s="7" t="s">
        <v>282</v>
      </c>
      <c r="C1218" s="24" t="s">
        <v>34</v>
      </c>
      <c r="D1218" s="24" t="s">
        <v>35</v>
      </c>
      <c r="E1218" s="8">
        <v>46219</v>
      </c>
      <c r="F1218" s="8">
        <v>46227</v>
      </c>
      <c r="G1218" s="9">
        <f t="shared" si="225"/>
        <v>9</v>
      </c>
      <c r="H1218" s="10"/>
      <c r="I1218" s="10"/>
      <c r="J1218" s="10"/>
      <c r="K1218" s="11">
        <f t="shared" si="226"/>
        <v>0</v>
      </c>
      <c r="L1218" s="11">
        <f t="shared" si="227"/>
        <v>0</v>
      </c>
      <c r="M1218" s="12" t="str">
        <f t="shared" si="228"/>
        <v/>
      </c>
      <c r="N1218" s="11">
        <f t="shared" si="229"/>
        <v>0</v>
      </c>
      <c r="O1218" s="12" t="str">
        <f t="shared" si="230"/>
        <v/>
      </c>
      <c r="P1218" s="12" t="str">
        <f t="shared" si="231"/>
        <v/>
      </c>
      <c r="Q1218" s="13" t="str">
        <f t="shared" si="223"/>
        <v/>
      </c>
      <c r="R1218" s="13" t="str">
        <f t="shared" si="224"/>
        <v/>
      </c>
    </row>
    <row r="1219" spans="1:18" ht="15.75" customHeight="1" x14ac:dyDescent="0.3">
      <c r="A1219" s="7" t="s">
        <v>298</v>
      </c>
      <c r="B1219" s="7" t="s">
        <v>78</v>
      </c>
      <c r="C1219" s="24" t="s">
        <v>34</v>
      </c>
      <c r="D1219" s="24" t="s">
        <v>35</v>
      </c>
      <c r="E1219" s="8">
        <v>46219</v>
      </c>
      <c r="F1219" s="8">
        <v>46227</v>
      </c>
      <c r="G1219" s="9">
        <f t="shared" si="225"/>
        <v>9</v>
      </c>
      <c r="H1219" s="10"/>
      <c r="I1219" s="10"/>
      <c r="J1219" s="10"/>
      <c r="K1219" s="11">
        <f t="shared" si="226"/>
        <v>0</v>
      </c>
      <c r="L1219" s="11">
        <f t="shared" si="227"/>
        <v>0</v>
      </c>
      <c r="M1219" s="12" t="str">
        <f t="shared" si="228"/>
        <v/>
      </c>
      <c r="N1219" s="11">
        <f t="shared" si="229"/>
        <v>0</v>
      </c>
      <c r="O1219" s="12" t="str">
        <f t="shared" si="230"/>
        <v/>
      </c>
      <c r="P1219" s="12" t="str">
        <f t="shared" si="231"/>
        <v/>
      </c>
      <c r="Q1219" s="13" t="str">
        <f t="shared" si="223"/>
        <v/>
      </c>
      <c r="R1219" s="13" t="str">
        <f t="shared" si="224"/>
        <v/>
      </c>
    </row>
    <row r="1220" spans="1:18" ht="15.75" customHeight="1" x14ac:dyDescent="0.3">
      <c r="A1220" s="7" t="s">
        <v>298</v>
      </c>
      <c r="B1220" s="7" t="s">
        <v>242</v>
      </c>
      <c r="C1220" s="24" t="s">
        <v>34</v>
      </c>
      <c r="D1220" s="24" t="s">
        <v>35</v>
      </c>
      <c r="E1220" s="8">
        <v>46219</v>
      </c>
      <c r="F1220" s="8">
        <v>46227</v>
      </c>
      <c r="G1220" s="9">
        <f t="shared" si="225"/>
        <v>9</v>
      </c>
      <c r="H1220" s="10"/>
      <c r="I1220" s="10"/>
      <c r="J1220" s="10"/>
      <c r="K1220" s="11">
        <f t="shared" si="226"/>
        <v>0</v>
      </c>
      <c r="L1220" s="11">
        <f t="shared" si="227"/>
        <v>0</v>
      </c>
      <c r="M1220" s="12" t="str">
        <f t="shared" si="228"/>
        <v/>
      </c>
      <c r="N1220" s="11">
        <f t="shared" si="229"/>
        <v>0</v>
      </c>
      <c r="O1220" s="12" t="str">
        <f t="shared" si="230"/>
        <v/>
      </c>
      <c r="P1220" s="12" t="str">
        <f t="shared" si="231"/>
        <v/>
      </c>
      <c r="Q1220" s="13" t="str">
        <f t="shared" si="223"/>
        <v/>
      </c>
      <c r="R1220" s="13" t="str">
        <f t="shared" si="224"/>
        <v/>
      </c>
    </row>
    <row r="1221" spans="1:18" ht="15.75" customHeight="1" x14ac:dyDescent="0.3">
      <c r="A1221" s="7" t="s">
        <v>298</v>
      </c>
      <c r="B1221" s="7" t="s">
        <v>90</v>
      </c>
      <c r="C1221" s="24" t="s">
        <v>34</v>
      </c>
      <c r="D1221" s="24" t="s">
        <v>91</v>
      </c>
      <c r="E1221" s="8">
        <v>46219</v>
      </c>
      <c r="F1221" s="8">
        <v>46227</v>
      </c>
      <c r="G1221" s="9">
        <f t="shared" si="225"/>
        <v>9</v>
      </c>
      <c r="H1221" s="10"/>
      <c r="I1221" s="10"/>
      <c r="J1221" s="10"/>
      <c r="K1221" s="11">
        <f t="shared" si="226"/>
        <v>0</v>
      </c>
      <c r="L1221" s="11">
        <f t="shared" si="227"/>
        <v>0</v>
      </c>
      <c r="M1221" s="12" t="str">
        <f t="shared" si="228"/>
        <v/>
      </c>
      <c r="N1221" s="11">
        <f t="shared" si="229"/>
        <v>0</v>
      </c>
      <c r="O1221" s="12" t="str">
        <f t="shared" si="230"/>
        <v/>
      </c>
      <c r="P1221" s="12" t="str">
        <f t="shared" si="231"/>
        <v/>
      </c>
      <c r="Q1221" s="13" t="str">
        <f t="shared" si="223"/>
        <v/>
      </c>
      <c r="R1221" s="13" t="str">
        <f t="shared" si="224"/>
        <v/>
      </c>
    </row>
    <row r="1222" spans="1:18" ht="15.75" customHeight="1" x14ac:dyDescent="0.3">
      <c r="A1222" s="7" t="s">
        <v>298</v>
      </c>
      <c r="B1222" s="7" t="s">
        <v>283</v>
      </c>
      <c r="C1222" s="24" t="s">
        <v>34</v>
      </c>
      <c r="D1222" s="24" t="s">
        <v>91</v>
      </c>
      <c r="E1222" s="8">
        <v>46219</v>
      </c>
      <c r="F1222" s="8">
        <v>46227</v>
      </c>
      <c r="G1222" s="9">
        <f t="shared" si="225"/>
        <v>9</v>
      </c>
      <c r="H1222" s="10"/>
      <c r="I1222" s="10"/>
      <c r="J1222" s="10"/>
      <c r="K1222" s="11">
        <f t="shared" si="226"/>
        <v>0</v>
      </c>
      <c r="L1222" s="11">
        <f t="shared" si="227"/>
        <v>0</v>
      </c>
      <c r="M1222" s="12" t="str">
        <f t="shared" si="228"/>
        <v/>
      </c>
      <c r="N1222" s="11">
        <f t="shared" si="229"/>
        <v>0</v>
      </c>
      <c r="O1222" s="12" t="str">
        <f t="shared" si="230"/>
        <v/>
      </c>
      <c r="P1222" s="12" t="str">
        <f t="shared" si="231"/>
        <v/>
      </c>
      <c r="Q1222" s="13" t="str">
        <f t="shared" si="223"/>
        <v/>
      </c>
      <c r="R1222" s="13" t="str">
        <f t="shared" si="224"/>
        <v/>
      </c>
    </row>
    <row r="1223" spans="1:18" ht="15.75" customHeight="1" x14ac:dyDescent="0.3">
      <c r="A1223" s="7" t="s">
        <v>298</v>
      </c>
      <c r="B1223" s="7" t="s">
        <v>284</v>
      </c>
      <c r="C1223" s="24" t="s">
        <v>34</v>
      </c>
      <c r="D1223" s="24" t="s">
        <v>91</v>
      </c>
      <c r="E1223" s="8">
        <v>46219</v>
      </c>
      <c r="F1223" s="8">
        <v>46227</v>
      </c>
      <c r="G1223" s="9">
        <f t="shared" si="225"/>
        <v>9</v>
      </c>
      <c r="H1223" s="10"/>
      <c r="I1223" s="10"/>
      <c r="J1223" s="10"/>
      <c r="K1223" s="11">
        <f t="shared" si="226"/>
        <v>0</v>
      </c>
      <c r="L1223" s="11">
        <f t="shared" si="227"/>
        <v>0</v>
      </c>
      <c r="M1223" s="12" t="str">
        <f t="shared" si="228"/>
        <v/>
      </c>
      <c r="N1223" s="11">
        <f t="shared" si="229"/>
        <v>0</v>
      </c>
      <c r="O1223" s="12" t="str">
        <f t="shared" si="230"/>
        <v/>
      </c>
      <c r="P1223" s="12" t="str">
        <f t="shared" si="231"/>
        <v/>
      </c>
      <c r="Q1223" s="13" t="str">
        <f t="shared" si="223"/>
        <v/>
      </c>
      <c r="R1223" s="13" t="str">
        <f t="shared" si="224"/>
        <v/>
      </c>
    </row>
    <row r="1224" spans="1:18" ht="15.75" customHeight="1" x14ac:dyDescent="0.3">
      <c r="A1224" s="7" t="s">
        <v>298</v>
      </c>
      <c r="B1224" s="7" t="s">
        <v>41</v>
      </c>
      <c r="C1224" s="24" t="s">
        <v>34</v>
      </c>
      <c r="D1224" s="24" t="s">
        <v>39</v>
      </c>
      <c r="E1224" s="8">
        <v>46219</v>
      </c>
      <c r="F1224" s="8">
        <v>46227</v>
      </c>
      <c r="G1224" s="9">
        <f t="shared" si="225"/>
        <v>9</v>
      </c>
      <c r="H1224" s="10"/>
      <c r="I1224" s="10"/>
      <c r="J1224" s="10"/>
      <c r="K1224" s="11">
        <f t="shared" si="226"/>
        <v>0</v>
      </c>
      <c r="L1224" s="11">
        <f t="shared" si="227"/>
        <v>0</v>
      </c>
      <c r="M1224" s="12" t="str">
        <f t="shared" si="228"/>
        <v/>
      </c>
      <c r="N1224" s="11">
        <f t="shared" si="229"/>
        <v>0</v>
      </c>
      <c r="O1224" s="12" t="str">
        <f t="shared" si="230"/>
        <v/>
      </c>
      <c r="P1224" s="12" t="str">
        <f t="shared" si="231"/>
        <v/>
      </c>
      <c r="Q1224" s="13" t="str">
        <f t="shared" si="223"/>
        <v/>
      </c>
      <c r="R1224" s="13" t="str">
        <f t="shared" si="224"/>
        <v/>
      </c>
    </row>
    <row r="1225" spans="1:18" ht="15.75" customHeight="1" x14ac:dyDescent="0.3">
      <c r="A1225" s="7" t="s">
        <v>298</v>
      </c>
      <c r="B1225" s="7" t="s">
        <v>42</v>
      </c>
      <c r="C1225" s="24" t="s">
        <v>34</v>
      </c>
      <c r="D1225" s="24" t="s">
        <v>39</v>
      </c>
      <c r="E1225" s="8">
        <v>46219</v>
      </c>
      <c r="F1225" s="8">
        <v>46227</v>
      </c>
      <c r="G1225" s="9">
        <f t="shared" si="225"/>
        <v>9</v>
      </c>
      <c r="H1225" s="10"/>
      <c r="I1225" s="10"/>
      <c r="J1225" s="10"/>
      <c r="K1225" s="11">
        <f t="shared" si="226"/>
        <v>0</v>
      </c>
      <c r="L1225" s="11">
        <f t="shared" si="227"/>
        <v>0</v>
      </c>
      <c r="M1225" s="12" t="str">
        <f t="shared" si="228"/>
        <v/>
      </c>
      <c r="N1225" s="11">
        <f t="shared" si="229"/>
        <v>0</v>
      </c>
      <c r="O1225" s="12" t="str">
        <f t="shared" si="230"/>
        <v/>
      </c>
      <c r="P1225" s="12" t="str">
        <f t="shared" si="231"/>
        <v/>
      </c>
      <c r="Q1225" s="13" t="str">
        <f t="shared" si="223"/>
        <v/>
      </c>
      <c r="R1225" s="13" t="str">
        <f t="shared" si="224"/>
        <v/>
      </c>
    </row>
    <row r="1226" spans="1:18" ht="15.75" customHeight="1" x14ac:dyDescent="0.3">
      <c r="A1226" s="7" t="s">
        <v>298</v>
      </c>
      <c r="B1226" s="7" t="s">
        <v>45</v>
      </c>
      <c r="C1226" s="24" t="s">
        <v>34</v>
      </c>
      <c r="D1226" s="24" t="s">
        <v>44</v>
      </c>
      <c r="E1226" s="8">
        <v>46219</v>
      </c>
      <c r="F1226" s="8">
        <v>46227</v>
      </c>
      <c r="G1226" s="9">
        <f t="shared" si="225"/>
        <v>9</v>
      </c>
      <c r="H1226" s="10"/>
      <c r="I1226" s="10"/>
      <c r="J1226" s="10"/>
      <c r="K1226" s="11">
        <f t="shared" si="226"/>
        <v>0</v>
      </c>
      <c r="L1226" s="11">
        <f t="shared" si="227"/>
        <v>0</v>
      </c>
      <c r="M1226" s="12" t="str">
        <f t="shared" si="228"/>
        <v/>
      </c>
      <c r="N1226" s="11">
        <f t="shared" si="229"/>
        <v>0</v>
      </c>
      <c r="O1226" s="12" t="str">
        <f t="shared" si="230"/>
        <v/>
      </c>
      <c r="P1226" s="12" t="str">
        <f t="shared" si="231"/>
        <v/>
      </c>
      <c r="Q1226" s="13" t="str">
        <f t="shared" si="223"/>
        <v/>
      </c>
      <c r="R1226" s="13" t="str">
        <f t="shared" si="224"/>
        <v/>
      </c>
    </row>
    <row r="1227" spans="1:18" ht="15.75" customHeight="1" x14ac:dyDescent="0.3">
      <c r="A1227" s="7" t="s">
        <v>298</v>
      </c>
      <c r="B1227" s="7" t="s">
        <v>220</v>
      </c>
      <c r="C1227" s="24" t="s">
        <v>34</v>
      </c>
      <c r="D1227" s="24" t="s">
        <v>44</v>
      </c>
      <c r="E1227" s="8">
        <v>46219</v>
      </c>
      <c r="F1227" s="8">
        <v>46227</v>
      </c>
      <c r="G1227" s="9">
        <f t="shared" si="225"/>
        <v>9</v>
      </c>
      <c r="H1227" s="10"/>
      <c r="I1227" s="10"/>
      <c r="J1227" s="10"/>
      <c r="K1227" s="11">
        <f t="shared" si="226"/>
        <v>0</v>
      </c>
      <c r="L1227" s="11">
        <f t="shared" si="227"/>
        <v>0</v>
      </c>
      <c r="M1227" s="12" t="str">
        <f t="shared" si="228"/>
        <v/>
      </c>
      <c r="N1227" s="11">
        <f t="shared" si="229"/>
        <v>0</v>
      </c>
      <c r="O1227" s="12" t="str">
        <f t="shared" si="230"/>
        <v/>
      </c>
      <c r="P1227" s="12" t="str">
        <f t="shared" si="231"/>
        <v/>
      </c>
      <c r="Q1227" s="13" t="str">
        <f t="shared" si="223"/>
        <v/>
      </c>
      <c r="R1227" s="13" t="str">
        <f t="shared" si="224"/>
        <v/>
      </c>
    </row>
    <row r="1228" spans="1:18" ht="15.75" customHeight="1" x14ac:dyDescent="0.3">
      <c r="A1228" s="7" t="s">
        <v>298</v>
      </c>
      <c r="B1228" s="7" t="s">
        <v>43</v>
      </c>
      <c r="C1228" s="24" t="s">
        <v>34</v>
      </c>
      <c r="D1228" s="24" t="s">
        <v>44</v>
      </c>
      <c r="E1228" s="8">
        <v>46219</v>
      </c>
      <c r="F1228" s="8">
        <v>46227</v>
      </c>
      <c r="G1228" s="9">
        <f t="shared" si="225"/>
        <v>9</v>
      </c>
      <c r="H1228" s="10"/>
      <c r="I1228" s="10"/>
      <c r="J1228" s="10"/>
      <c r="K1228" s="11">
        <f t="shared" si="226"/>
        <v>0</v>
      </c>
      <c r="L1228" s="11">
        <f t="shared" si="227"/>
        <v>0</v>
      </c>
      <c r="M1228" s="12" t="str">
        <f t="shared" si="228"/>
        <v/>
      </c>
      <c r="N1228" s="11">
        <f t="shared" si="229"/>
        <v>0</v>
      </c>
      <c r="O1228" s="12" t="str">
        <f t="shared" si="230"/>
        <v/>
      </c>
      <c r="P1228" s="12" t="str">
        <f t="shared" si="231"/>
        <v/>
      </c>
      <c r="Q1228" s="13" t="str">
        <f t="shared" si="223"/>
        <v/>
      </c>
      <c r="R1228" s="13" t="str">
        <f t="shared" si="224"/>
        <v/>
      </c>
    </row>
    <row r="1229" spans="1:18" ht="15.75" customHeight="1" x14ac:dyDescent="0.3">
      <c r="A1229" s="7" t="s">
        <v>298</v>
      </c>
      <c r="B1229" s="7" t="s">
        <v>117</v>
      </c>
      <c r="C1229" s="24" t="s">
        <v>47</v>
      </c>
      <c r="D1229" s="24" t="s">
        <v>48</v>
      </c>
      <c r="E1229" s="8">
        <v>46219</v>
      </c>
      <c r="F1229" s="8">
        <v>46227</v>
      </c>
      <c r="G1229" s="9">
        <f t="shared" si="225"/>
        <v>9</v>
      </c>
      <c r="H1229" s="10"/>
      <c r="I1229" s="10"/>
      <c r="J1229" s="10"/>
      <c r="K1229" s="11">
        <f t="shared" si="226"/>
        <v>0</v>
      </c>
      <c r="L1229" s="11">
        <f t="shared" si="227"/>
        <v>0</v>
      </c>
      <c r="M1229" s="12" t="str">
        <f t="shared" si="228"/>
        <v/>
      </c>
      <c r="N1229" s="11">
        <f t="shared" si="229"/>
        <v>0</v>
      </c>
      <c r="O1229" s="12" t="str">
        <f t="shared" si="230"/>
        <v/>
      </c>
      <c r="P1229" s="12" t="str">
        <f t="shared" si="231"/>
        <v/>
      </c>
      <c r="Q1229" s="13" t="str">
        <f t="shared" si="223"/>
        <v/>
      </c>
      <c r="R1229" s="13" t="str">
        <f t="shared" si="224"/>
        <v/>
      </c>
    </row>
    <row r="1230" spans="1:18" ht="15.75" customHeight="1" x14ac:dyDescent="0.3">
      <c r="A1230" s="7" t="s">
        <v>298</v>
      </c>
      <c r="B1230" s="7" t="s">
        <v>118</v>
      </c>
      <c r="C1230" s="24" t="s">
        <v>47</v>
      </c>
      <c r="D1230" s="24" t="s">
        <v>48</v>
      </c>
      <c r="E1230" s="8">
        <v>46219</v>
      </c>
      <c r="F1230" s="8">
        <v>46227</v>
      </c>
      <c r="G1230" s="9">
        <f t="shared" si="225"/>
        <v>9</v>
      </c>
      <c r="H1230" s="10"/>
      <c r="I1230" s="10"/>
      <c r="J1230" s="10"/>
      <c r="K1230" s="11">
        <f t="shared" si="226"/>
        <v>0</v>
      </c>
      <c r="L1230" s="11">
        <f t="shared" si="227"/>
        <v>0</v>
      </c>
      <c r="M1230" s="12" t="str">
        <f t="shared" si="228"/>
        <v/>
      </c>
      <c r="N1230" s="11">
        <f t="shared" si="229"/>
        <v>0</v>
      </c>
      <c r="O1230" s="12" t="str">
        <f t="shared" si="230"/>
        <v/>
      </c>
      <c r="P1230" s="12" t="str">
        <f t="shared" si="231"/>
        <v/>
      </c>
      <c r="Q1230" s="13" t="str">
        <f t="shared" si="223"/>
        <v/>
      </c>
      <c r="R1230" s="13" t="str">
        <f t="shared" si="224"/>
        <v/>
      </c>
    </row>
    <row r="1231" spans="1:18" ht="15.75" customHeight="1" x14ac:dyDescent="0.3">
      <c r="A1231" s="7" t="s">
        <v>298</v>
      </c>
      <c r="B1231" s="7" t="s">
        <v>184</v>
      </c>
      <c r="C1231" s="24" t="s">
        <v>47</v>
      </c>
      <c r="D1231" s="24" t="s">
        <v>48</v>
      </c>
      <c r="E1231" s="8">
        <v>46219</v>
      </c>
      <c r="F1231" s="8">
        <v>46227</v>
      </c>
      <c r="G1231" s="9">
        <f t="shared" si="225"/>
        <v>9</v>
      </c>
      <c r="H1231" s="10"/>
      <c r="I1231" s="10"/>
      <c r="J1231" s="10"/>
      <c r="K1231" s="11">
        <f t="shared" si="226"/>
        <v>0</v>
      </c>
      <c r="L1231" s="11">
        <f t="shared" si="227"/>
        <v>0</v>
      </c>
      <c r="M1231" s="12" t="str">
        <f t="shared" si="228"/>
        <v/>
      </c>
      <c r="N1231" s="11">
        <f t="shared" si="229"/>
        <v>0</v>
      </c>
      <c r="O1231" s="12" t="str">
        <f t="shared" si="230"/>
        <v/>
      </c>
      <c r="P1231" s="12" t="str">
        <f t="shared" si="231"/>
        <v/>
      </c>
      <c r="Q1231" s="13" t="str">
        <f t="shared" si="223"/>
        <v/>
      </c>
      <c r="R1231" s="13" t="str">
        <f t="shared" si="224"/>
        <v/>
      </c>
    </row>
    <row r="1232" spans="1:18" ht="15.75" customHeight="1" x14ac:dyDescent="0.3">
      <c r="A1232" s="7" t="s">
        <v>298</v>
      </c>
      <c r="B1232" s="7" t="s">
        <v>185</v>
      </c>
      <c r="C1232" s="24" t="s">
        <v>47</v>
      </c>
      <c r="D1232" s="24" t="s">
        <v>48</v>
      </c>
      <c r="E1232" s="8">
        <v>46219</v>
      </c>
      <c r="F1232" s="8">
        <v>46227</v>
      </c>
      <c r="G1232" s="9">
        <f t="shared" si="225"/>
        <v>9</v>
      </c>
      <c r="H1232" s="10"/>
      <c r="I1232" s="10"/>
      <c r="J1232" s="10"/>
      <c r="K1232" s="11">
        <f t="shared" si="226"/>
        <v>0</v>
      </c>
      <c r="L1232" s="11">
        <f t="shared" si="227"/>
        <v>0</v>
      </c>
      <c r="M1232" s="12" t="str">
        <f t="shared" si="228"/>
        <v/>
      </c>
      <c r="N1232" s="11">
        <f t="shared" si="229"/>
        <v>0</v>
      </c>
      <c r="O1232" s="12" t="str">
        <f t="shared" si="230"/>
        <v/>
      </c>
      <c r="P1232" s="12" t="str">
        <f t="shared" si="231"/>
        <v/>
      </c>
      <c r="Q1232" s="13" t="str">
        <f t="shared" si="223"/>
        <v/>
      </c>
      <c r="R1232" s="13" t="str">
        <f t="shared" si="224"/>
        <v/>
      </c>
    </row>
    <row r="1233" spans="1:18" ht="15.75" customHeight="1" x14ac:dyDescent="0.3">
      <c r="A1233" s="7" t="s">
        <v>298</v>
      </c>
      <c r="B1233" s="7" t="s">
        <v>285</v>
      </c>
      <c r="C1233" s="24" t="s">
        <v>47</v>
      </c>
      <c r="D1233" s="24" t="s">
        <v>48</v>
      </c>
      <c r="E1233" s="8">
        <v>46219</v>
      </c>
      <c r="F1233" s="8">
        <v>46227</v>
      </c>
      <c r="G1233" s="9">
        <f t="shared" si="225"/>
        <v>9</v>
      </c>
      <c r="H1233" s="10"/>
      <c r="I1233" s="10"/>
      <c r="J1233" s="10"/>
      <c r="K1233" s="11">
        <f t="shared" si="226"/>
        <v>0</v>
      </c>
      <c r="L1233" s="11">
        <f t="shared" si="227"/>
        <v>0</v>
      </c>
      <c r="M1233" s="12" t="str">
        <f t="shared" si="228"/>
        <v/>
      </c>
      <c r="N1233" s="11">
        <f t="shared" si="229"/>
        <v>0</v>
      </c>
      <c r="O1233" s="12" t="str">
        <f t="shared" si="230"/>
        <v/>
      </c>
      <c r="P1233" s="12" t="str">
        <f t="shared" si="231"/>
        <v/>
      </c>
      <c r="Q1233" s="13" t="str">
        <f t="shared" si="223"/>
        <v/>
      </c>
      <c r="R1233" s="13" t="str">
        <f t="shared" si="224"/>
        <v/>
      </c>
    </row>
    <row r="1234" spans="1:18" ht="15.75" customHeight="1" x14ac:dyDescent="0.3">
      <c r="A1234" s="7" t="s">
        <v>298</v>
      </c>
      <c r="B1234" s="7" t="s">
        <v>286</v>
      </c>
      <c r="C1234" s="24" t="s">
        <v>47</v>
      </c>
      <c r="D1234" s="24" t="s">
        <v>48</v>
      </c>
      <c r="E1234" s="8">
        <v>46219</v>
      </c>
      <c r="F1234" s="8">
        <v>46227</v>
      </c>
      <c r="G1234" s="9">
        <f t="shared" si="225"/>
        <v>9</v>
      </c>
      <c r="H1234" s="10"/>
      <c r="I1234" s="10"/>
      <c r="J1234" s="10"/>
      <c r="K1234" s="11">
        <f t="shared" si="226"/>
        <v>0</v>
      </c>
      <c r="L1234" s="11">
        <f t="shared" si="227"/>
        <v>0</v>
      </c>
      <c r="M1234" s="12" t="str">
        <f t="shared" si="228"/>
        <v/>
      </c>
      <c r="N1234" s="11">
        <f t="shared" si="229"/>
        <v>0</v>
      </c>
      <c r="O1234" s="12" t="str">
        <f t="shared" si="230"/>
        <v/>
      </c>
      <c r="P1234" s="12" t="str">
        <f t="shared" si="231"/>
        <v/>
      </c>
      <c r="Q1234" s="13" t="str">
        <f t="shared" si="223"/>
        <v/>
      </c>
      <c r="R1234" s="13" t="str">
        <f t="shared" si="224"/>
        <v/>
      </c>
    </row>
    <row r="1235" spans="1:18" ht="15.75" customHeight="1" x14ac:dyDescent="0.3">
      <c r="A1235" s="7" t="s">
        <v>298</v>
      </c>
      <c r="B1235" s="7" t="s">
        <v>98</v>
      </c>
      <c r="C1235" s="24" t="s">
        <v>47</v>
      </c>
      <c r="D1235" s="24" t="s">
        <v>53</v>
      </c>
      <c r="E1235" s="8">
        <v>46219</v>
      </c>
      <c r="F1235" s="8">
        <v>46227</v>
      </c>
      <c r="G1235" s="9">
        <f t="shared" si="225"/>
        <v>9</v>
      </c>
      <c r="H1235" s="10"/>
      <c r="I1235" s="10"/>
      <c r="J1235" s="10"/>
      <c r="K1235" s="11">
        <f t="shared" si="226"/>
        <v>0</v>
      </c>
      <c r="L1235" s="11">
        <f t="shared" si="227"/>
        <v>0</v>
      </c>
      <c r="M1235" s="12" t="str">
        <f t="shared" si="228"/>
        <v/>
      </c>
      <c r="N1235" s="11">
        <f t="shared" si="229"/>
        <v>0</v>
      </c>
      <c r="O1235" s="12" t="str">
        <f t="shared" si="230"/>
        <v/>
      </c>
      <c r="P1235" s="12" t="str">
        <f t="shared" si="231"/>
        <v/>
      </c>
      <c r="Q1235" s="13" t="str">
        <f t="shared" si="223"/>
        <v/>
      </c>
      <c r="R1235" s="13" t="str">
        <f t="shared" si="224"/>
        <v/>
      </c>
    </row>
    <row r="1236" spans="1:18" ht="15.75" customHeight="1" x14ac:dyDescent="0.3">
      <c r="A1236" s="7" t="s">
        <v>298</v>
      </c>
      <c r="B1236" s="7" t="s">
        <v>279</v>
      </c>
      <c r="C1236" s="24" t="s">
        <v>47</v>
      </c>
      <c r="D1236" s="24" t="s">
        <v>433</v>
      </c>
      <c r="E1236" s="8">
        <v>46219</v>
      </c>
      <c r="F1236" s="8">
        <v>46227</v>
      </c>
      <c r="G1236" s="9">
        <f t="shared" si="225"/>
        <v>9</v>
      </c>
      <c r="H1236" s="10"/>
      <c r="I1236" s="10"/>
      <c r="J1236" s="10"/>
      <c r="K1236" s="11">
        <f t="shared" si="226"/>
        <v>0</v>
      </c>
      <c r="L1236" s="11">
        <f t="shared" si="227"/>
        <v>0</v>
      </c>
      <c r="M1236" s="12" t="str">
        <f t="shared" si="228"/>
        <v/>
      </c>
      <c r="N1236" s="11">
        <f t="shared" si="229"/>
        <v>0</v>
      </c>
      <c r="O1236" s="12" t="str">
        <f t="shared" si="230"/>
        <v/>
      </c>
      <c r="P1236" s="12" t="str">
        <f t="shared" si="231"/>
        <v/>
      </c>
      <c r="Q1236" s="13" t="str">
        <f t="shared" si="223"/>
        <v/>
      </c>
      <c r="R1236" s="13" t="str">
        <f t="shared" si="224"/>
        <v/>
      </c>
    </row>
    <row r="1237" spans="1:18" ht="15.75" customHeight="1" x14ac:dyDescent="0.3">
      <c r="A1237" s="7" t="s">
        <v>298</v>
      </c>
      <c r="B1237" s="7" t="s">
        <v>280</v>
      </c>
      <c r="C1237" s="24" t="s">
        <v>47</v>
      </c>
      <c r="D1237" s="24" t="s">
        <v>433</v>
      </c>
      <c r="E1237" s="8">
        <v>46219</v>
      </c>
      <c r="F1237" s="8">
        <v>46227</v>
      </c>
      <c r="G1237" s="9">
        <f t="shared" si="225"/>
        <v>9</v>
      </c>
      <c r="H1237" s="10"/>
      <c r="I1237" s="10"/>
      <c r="J1237" s="10"/>
      <c r="K1237" s="11">
        <f t="shared" si="226"/>
        <v>0</v>
      </c>
      <c r="L1237" s="11">
        <f t="shared" si="227"/>
        <v>0</v>
      </c>
      <c r="M1237" s="12" t="str">
        <f t="shared" si="228"/>
        <v/>
      </c>
      <c r="N1237" s="11">
        <f t="shared" si="229"/>
        <v>0</v>
      </c>
      <c r="O1237" s="12" t="str">
        <f t="shared" si="230"/>
        <v/>
      </c>
      <c r="P1237" s="12" t="str">
        <f t="shared" si="231"/>
        <v/>
      </c>
      <c r="Q1237" s="13" t="str">
        <f t="shared" si="223"/>
        <v/>
      </c>
      <c r="R1237" s="13" t="str">
        <f t="shared" si="224"/>
        <v/>
      </c>
    </row>
    <row r="1238" spans="1:18" ht="15.75" customHeight="1" x14ac:dyDescent="0.3">
      <c r="A1238" s="7" t="s">
        <v>298</v>
      </c>
      <c r="B1238" s="7" t="s">
        <v>216</v>
      </c>
      <c r="C1238" s="24" t="s">
        <v>47</v>
      </c>
      <c r="D1238" s="24" t="s">
        <v>53</v>
      </c>
      <c r="E1238" s="8">
        <v>46219</v>
      </c>
      <c r="F1238" s="8">
        <v>46227</v>
      </c>
      <c r="G1238" s="9">
        <f t="shared" si="225"/>
        <v>9</v>
      </c>
      <c r="H1238" s="10"/>
      <c r="I1238" s="10"/>
      <c r="J1238" s="10"/>
      <c r="K1238" s="11">
        <f t="shared" si="226"/>
        <v>0</v>
      </c>
      <c r="L1238" s="11">
        <f t="shared" si="227"/>
        <v>0</v>
      </c>
      <c r="M1238" s="12" t="str">
        <f t="shared" si="228"/>
        <v/>
      </c>
      <c r="N1238" s="11">
        <f t="shared" si="229"/>
        <v>0</v>
      </c>
      <c r="O1238" s="12" t="str">
        <f t="shared" si="230"/>
        <v/>
      </c>
      <c r="P1238" s="12" t="str">
        <f t="shared" si="231"/>
        <v/>
      </c>
      <c r="Q1238" s="13" t="str">
        <f t="shared" si="223"/>
        <v/>
      </c>
      <c r="R1238" s="13" t="str">
        <f t="shared" si="224"/>
        <v/>
      </c>
    </row>
    <row r="1239" spans="1:18" ht="15.75" customHeight="1" x14ac:dyDescent="0.3">
      <c r="A1239" s="7" t="s">
        <v>298</v>
      </c>
      <c r="B1239" s="7" t="s">
        <v>100</v>
      </c>
      <c r="C1239" s="24" t="s">
        <v>47</v>
      </c>
      <c r="D1239" s="24" t="s">
        <v>56</v>
      </c>
      <c r="E1239" s="8">
        <v>46219</v>
      </c>
      <c r="F1239" s="8">
        <v>46227</v>
      </c>
      <c r="G1239" s="9">
        <f t="shared" si="225"/>
        <v>9</v>
      </c>
      <c r="H1239" s="10"/>
      <c r="I1239" s="10"/>
      <c r="J1239" s="10"/>
      <c r="K1239" s="11">
        <f t="shared" si="226"/>
        <v>0</v>
      </c>
      <c r="L1239" s="11">
        <f t="shared" si="227"/>
        <v>0</v>
      </c>
      <c r="M1239" s="12" t="str">
        <f t="shared" si="228"/>
        <v/>
      </c>
      <c r="N1239" s="11">
        <f t="shared" si="229"/>
        <v>0</v>
      </c>
      <c r="O1239" s="12" t="str">
        <f t="shared" si="230"/>
        <v/>
      </c>
      <c r="P1239" s="12" t="str">
        <f t="shared" si="231"/>
        <v/>
      </c>
      <c r="Q1239" s="13" t="str">
        <f t="shared" si="223"/>
        <v/>
      </c>
      <c r="R1239" s="13" t="str">
        <f t="shared" si="224"/>
        <v/>
      </c>
    </row>
    <row r="1240" spans="1:18" ht="15.75" customHeight="1" x14ac:dyDescent="0.3">
      <c r="A1240" s="7" t="s">
        <v>298</v>
      </c>
      <c r="B1240" s="7" t="s">
        <v>99</v>
      </c>
      <c r="C1240" s="24" t="s">
        <v>47</v>
      </c>
      <c r="D1240" s="24" t="s">
        <v>56</v>
      </c>
      <c r="E1240" s="8">
        <v>46219</v>
      </c>
      <c r="F1240" s="8">
        <v>46227</v>
      </c>
      <c r="G1240" s="9">
        <f t="shared" si="225"/>
        <v>9</v>
      </c>
      <c r="H1240" s="10"/>
      <c r="I1240" s="10"/>
      <c r="J1240" s="10"/>
      <c r="K1240" s="11">
        <f t="shared" si="226"/>
        <v>0</v>
      </c>
      <c r="L1240" s="11">
        <f t="shared" si="227"/>
        <v>0</v>
      </c>
      <c r="M1240" s="12" t="str">
        <f t="shared" si="228"/>
        <v/>
      </c>
      <c r="N1240" s="11">
        <f t="shared" si="229"/>
        <v>0</v>
      </c>
      <c r="O1240" s="12" t="str">
        <f t="shared" si="230"/>
        <v/>
      </c>
      <c r="P1240" s="12" t="str">
        <f t="shared" si="231"/>
        <v/>
      </c>
      <c r="Q1240" s="13" t="str">
        <f t="shared" si="223"/>
        <v/>
      </c>
      <c r="R1240" s="13" t="str">
        <f t="shared" si="224"/>
        <v/>
      </c>
    </row>
    <row r="1241" spans="1:18" ht="15.75" customHeight="1" x14ac:dyDescent="0.3">
      <c r="A1241" s="7" t="s">
        <v>298</v>
      </c>
      <c r="B1241" s="7" t="s">
        <v>287</v>
      </c>
      <c r="C1241" s="24" t="s">
        <v>47</v>
      </c>
      <c r="D1241" s="24" t="s">
        <v>448</v>
      </c>
      <c r="E1241" s="8">
        <v>46219</v>
      </c>
      <c r="F1241" s="8">
        <v>46227</v>
      </c>
      <c r="G1241" s="9">
        <f t="shared" si="225"/>
        <v>9</v>
      </c>
      <c r="H1241" s="10"/>
      <c r="I1241" s="10"/>
      <c r="J1241" s="10"/>
      <c r="K1241" s="11">
        <f t="shared" si="226"/>
        <v>0</v>
      </c>
      <c r="L1241" s="11">
        <f t="shared" si="227"/>
        <v>0</v>
      </c>
      <c r="M1241" s="12" t="str">
        <f t="shared" si="228"/>
        <v/>
      </c>
      <c r="N1241" s="11">
        <f t="shared" si="229"/>
        <v>0</v>
      </c>
      <c r="O1241" s="12" t="str">
        <f t="shared" si="230"/>
        <v/>
      </c>
      <c r="P1241" s="12" t="str">
        <f t="shared" si="231"/>
        <v/>
      </c>
      <c r="Q1241" s="13" t="str">
        <f t="shared" si="223"/>
        <v/>
      </c>
      <c r="R1241" s="13" t="str">
        <f t="shared" si="224"/>
        <v/>
      </c>
    </row>
    <row r="1242" spans="1:18" ht="15.75" customHeight="1" x14ac:dyDescent="0.3">
      <c r="A1242" s="7" t="s">
        <v>298</v>
      </c>
      <c r="B1242" s="7" t="s">
        <v>176</v>
      </c>
      <c r="C1242" s="24" t="s">
        <v>58</v>
      </c>
      <c r="D1242" s="24" t="s">
        <v>61</v>
      </c>
      <c r="E1242" s="8">
        <v>46219</v>
      </c>
      <c r="F1242" s="8">
        <v>46227</v>
      </c>
      <c r="G1242" s="9">
        <f t="shared" si="225"/>
        <v>9</v>
      </c>
      <c r="H1242" s="10"/>
      <c r="I1242" s="10"/>
      <c r="J1242" s="10"/>
      <c r="K1242" s="11">
        <f t="shared" si="226"/>
        <v>0</v>
      </c>
      <c r="L1242" s="11">
        <f t="shared" si="227"/>
        <v>0</v>
      </c>
      <c r="M1242" s="12" t="str">
        <f t="shared" si="228"/>
        <v/>
      </c>
      <c r="N1242" s="11">
        <f t="shared" si="229"/>
        <v>0</v>
      </c>
      <c r="O1242" s="12" t="str">
        <f t="shared" si="230"/>
        <v/>
      </c>
      <c r="P1242" s="12" t="str">
        <f t="shared" si="231"/>
        <v/>
      </c>
      <c r="Q1242" s="13" t="str">
        <f t="shared" si="223"/>
        <v/>
      </c>
      <c r="R1242" s="13" t="str">
        <f t="shared" si="224"/>
        <v/>
      </c>
    </row>
    <row r="1243" spans="1:18" ht="15.75" customHeight="1" x14ac:dyDescent="0.3">
      <c r="A1243" s="7" t="s">
        <v>298</v>
      </c>
      <c r="B1243" s="7" t="s">
        <v>177</v>
      </c>
      <c r="C1243" s="24" t="s">
        <v>58</v>
      </c>
      <c r="D1243" s="24" t="s">
        <v>61</v>
      </c>
      <c r="E1243" s="8">
        <v>46219</v>
      </c>
      <c r="F1243" s="8">
        <v>46227</v>
      </c>
      <c r="G1243" s="9">
        <f t="shared" si="225"/>
        <v>9</v>
      </c>
      <c r="H1243" s="10"/>
      <c r="I1243" s="10"/>
      <c r="J1243" s="10"/>
      <c r="K1243" s="11">
        <f t="shared" si="226"/>
        <v>0</v>
      </c>
      <c r="L1243" s="11">
        <f t="shared" si="227"/>
        <v>0</v>
      </c>
      <c r="M1243" s="12" t="str">
        <f t="shared" si="228"/>
        <v/>
      </c>
      <c r="N1243" s="11">
        <f t="shared" si="229"/>
        <v>0</v>
      </c>
      <c r="O1243" s="12" t="str">
        <f t="shared" si="230"/>
        <v/>
      </c>
      <c r="P1243" s="12" t="str">
        <f t="shared" si="231"/>
        <v/>
      </c>
      <c r="Q1243" s="13" t="str">
        <f t="shared" si="223"/>
        <v/>
      </c>
      <c r="R1243" s="13" t="str">
        <f t="shared" si="224"/>
        <v/>
      </c>
    </row>
    <row r="1244" spans="1:18" ht="15.75" customHeight="1" x14ac:dyDescent="0.3">
      <c r="A1244" s="7" t="s">
        <v>298</v>
      </c>
      <c r="B1244" s="7" t="s">
        <v>60</v>
      </c>
      <c r="C1244" s="24" t="s">
        <v>58</v>
      </c>
      <c r="D1244" s="24" t="s">
        <v>61</v>
      </c>
      <c r="E1244" s="8">
        <v>46219</v>
      </c>
      <c r="F1244" s="8">
        <v>46227</v>
      </c>
      <c r="G1244" s="9">
        <f t="shared" si="225"/>
        <v>9</v>
      </c>
      <c r="H1244" s="10"/>
      <c r="I1244" s="10"/>
      <c r="J1244" s="10"/>
      <c r="K1244" s="11">
        <f t="shared" si="226"/>
        <v>0</v>
      </c>
      <c r="L1244" s="11">
        <f t="shared" si="227"/>
        <v>0</v>
      </c>
      <c r="M1244" s="12" t="str">
        <f t="shared" si="228"/>
        <v/>
      </c>
      <c r="N1244" s="11">
        <f t="shared" si="229"/>
        <v>0</v>
      </c>
      <c r="O1244" s="12" t="str">
        <f t="shared" si="230"/>
        <v/>
      </c>
      <c r="P1244" s="12" t="str">
        <f t="shared" si="231"/>
        <v/>
      </c>
      <c r="Q1244" s="13" t="str">
        <f t="shared" si="223"/>
        <v/>
      </c>
      <c r="R1244" s="13" t="str">
        <f t="shared" si="224"/>
        <v/>
      </c>
    </row>
    <row r="1245" spans="1:18" ht="15.75" customHeight="1" x14ac:dyDescent="0.3">
      <c r="A1245" s="7" t="s">
        <v>298</v>
      </c>
      <c r="B1245" s="7" t="s">
        <v>235</v>
      </c>
      <c r="C1245" s="24" t="s">
        <v>58</v>
      </c>
      <c r="D1245" s="24" t="s">
        <v>107</v>
      </c>
      <c r="E1245" s="8">
        <v>46219</v>
      </c>
      <c r="F1245" s="8">
        <v>46227</v>
      </c>
      <c r="G1245" s="9">
        <f t="shared" si="225"/>
        <v>9</v>
      </c>
      <c r="H1245" s="10"/>
      <c r="I1245" s="10"/>
      <c r="J1245" s="10"/>
      <c r="K1245" s="11">
        <f t="shared" si="226"/>
        <v>0</v>
      </c>
      <c r="L1245" s="11">
        <f t="shared" si="227"/>
        <v>0</v>
      </c>
      <c r="M1245" s="12" t="str">
        <f t="shared" si="228"/>
        <v/>
      </c>
      <c r="N1245" s="11">
        <f t="shared" si="229"/>
        <v>0</v>
      </c>
      <c r="O1245" s="12" t="str">
        <f t="shared" si="230"/>
        <v/>
      </c>
      <c r="P1245" s="12" t="str">
        <f t="shared" si="231"/>
        <v/>
      </c>
      <c r="Q1245" s="13" t="str">
        <f t="shared" si="223"/>
        <v/>
      </c>
      <c r="R1245" s="13" t="str">
        <f t="shared" si="224"/>
        <v/>
      </c>
    </row>
    <row r="1246" spans="1:18" ht="15.75" customHeight="1" x14ac:dyDescent="0.3">
      <c r="A1246" s="7" t="s">
        <v>298</v>
      </c>
      <c r="B1246" s="7" t="s">
        <v>194</v>
      </c>
      <c r="C1246" s="24" t="s">
        <v>58</v>
      </c>
      <c r="D1246" s="24" t="s">
        <v>103</v>
      </c>
      <c r="E1246" s="8">
        <v>46219</v>
      </c>
      <c r="F1246" s="8">
        <v>46227</v>
      </c>
      <c r="G1246" s="9">
        <f t="shared" si="225"/>
        <v>9</v>
      </c>
      <c r="H1246" s="10"/>
      <c r="I1246" s="10"/>
      <c r="J1246" s="10"/>
      <c r="K1246" s="11">
        <f t="shared" si="226"/>
        <v>0</v>
      </c>
      <c r="L1246" s="11">
        <f t="shared" si="227"/>
        <v>0</v>
      </c>
      <c r="M1246" s="12" t="str">
        <f t="shared" si="228"/>
        <v/>
      </c>
      <c r="N1246" s="11">
        <f t="shared" si="229"/>
        <v>0</v>
      </c>
      <c r="O1246" s="12" t="str">
        <f t="shared" si="230"/>
        <v/>
      </c>
      <c r="P1246" s="12" t="str">
        <f t="shared" si="231"/>
        <v/>
      </c>
      <c r="Q1246" s="13" t="str">
        <f t="shared" si="223"/>
        <v/>
      </c>
      <c r="R1246" s="13" t="str">
        <f t="shared" si="224"/>
        <v/>
      </c>
    </row>
    <row r="1247" spans="1:18" ht="15.75" customHeight="1" x14ac:dyDescent="0.3">
      <c r="A1247" s="7" t="s">
        <v>298</v>
      </c>
      <c r="B1247" s="7" t="s">
        <v>243</v>
      </c>
      <c r="C1247" s="24" t="s">
        <v>58</v>
      </c>
      <c r="D1247" s="24" t="s">
        <v>193</v>
      </c>
      <c r="E1247" s="8">
        <v>46219</v>
      </c>
      <c r="F1247" s="8">
        <v>46227</v>
      </c>
      <c r="G1247" s="9">
        <f t="shared" si="225"/>
        <v>9</v>
      </c>
      <c r="H1247" s="10"/>
      <c r="I1247" s="10"/>
      <c r="J1247" s="10"/>
      <c r="K1247" s="11">
        <f t="shared" si="226"/>
        <v>0</v>
      </c>
      <c r="L1247" s="11">
        <f t="shared" si="227"/>
        <v>0</v>
      </c>
      <c r="M1247" s="12" t="str">
        <f t="shared" si="228"/>
        <v/>
      </c>
      <c r="N1247" s="11">
        <f t="shared" si="229"/>
        <v>0</v>
      </c>
      <c r="O1247" s="12" t="str">
        <f t="shared" si="230"/>
        <v/>
      </c>
      <c r="P1247" s="12" t="str">
        <f t="shared" si="231"/>
        <v/>
      </c>
      <c r="Q1247" s="13" t="str">
        <f t="shared" si="223"/>
        <v/>
      </c>
      <c r="R1247" s="13" t="str">
        <f t="shared" si="224"/>
        <v/>
      </c>
    </row>
    <row r="1248" spans="1:18" ht="15.75" customHeight="1" x14ac:dyDescent="0.3">
      <c r="A1248" s="7" t="s">
        <v>298</v>
      </c>
      <c r="B1248" s="7" t="s">
        <v>104</v>
      </c>
      <c r="C1248" s="24" t="s">
        <v>58</v>
      </c>
      <c r="D1248" s="24" t="s">
        <v>61</v>
      </c>
      <c r="E1248" s="8">
        <v>46219</v>
      </c>
      <c r="F1248" s="8">
        <v>46227</v>
      </c>
      <c r="G1248" s="9">
        <f t="shared" si="225"/>
        <v>9</v>
      </c>
      <c r="H1248" s="10"/>
      <c r="I1248" s="10"/>
      <c r="J1248" s="10"/>
      <c r="K1248" s="11">
        <f t="shared" si="226"/>
        <v>0</v>
      </c>
      <c r="L1248" s="11">
        <f t="shared" si="227"/>
        <v>0</v>
      </c>
      <c r="M1248" s="12" t="str">
        <f t="shared" si="228"/>
        <v/>
      </c>
      <c r="N1248" s="11">
        <f t="shared" si="229"/>
        <v>0</v>
      </c>
      <c r="O1248" s="12" t="str">
        <f t="shared" si="230"/>
        <v/>
      </c>
      <c r="P1248" s="12" t="str">
        <f t="shared" si="231"/>
        <v/>
      </c>
      <c r="Q1248" s="13" t="str">
        <f t="shared" si="223"/>
        <v/>
      </c>
      <c r="R1248" s="13" t="str">
        <f t="shared" si="224"/>
        <v/>
      </c>
    </row>
    <row r="1249" spans="1:18" ht="15.75" customHeight="1" x14ac:dyDescent="0.3">
      <c r="A1249" s="7" t="s">
        <v>298</v>
      </c>
      <c r="B1249" s="7" t="s">
        <v>208</v>
      </c>
      <c r="C1249" s="24" t="s">
        <v>58</v>
      </c>
      <c r="D1249" s="24" t="s">
        <v>107</v>
      </c>
      <c r="E1249" s="8">
        <v>46219</v>
      </c>
      <c r="F1249" s="8">
        <v>46227</v>
      </c>
      <c r="G1249" s="9">
        <f t="shared" si="225"/>
        <v>9</v>
      </c>
      <c r="H1249" s="10"/>
      <c r="I1249" s="10"/>
      <c r="J1249" s="10"/>
      <c r="K1249" s="11">
        <f t="shared" si="226"/>
        <v>0</v>
      </c>
      <c r="L1249" s="11">
        <f t="shared" si="227"/>
        <v>0</v>
      </c>
      <c r="M1249" s="12" t="str">
        <f t="shared" si="228"/>
        <v/>
      </c>
      <c r="N1249" s="11">
        <f t="shared" si="229"/>
        <v>0</v>
      </c>
      <c r="O1249" s="12" t="str">
        <f t="shared" si="230"/>
        <v/>
      </c>
      <c r="P1249" s="12" t="str">
        <f t="shared" si="231"/>
        <v/>
      </c>
      <c r="Q1249" s="13" t="str">
        <f t="shared" si="223"/>
        <v/>
      </c>
      <c r="R1249" s="13" t="str">
        <f t="shared" si="224"/>
        <v/>
      </c>
    </row>
    <row r="1250" spans="1:18" ht="15.75" customHeight="1" x14ac:dyDescent="0.3">
      <c r="A1250" s="7" t="s">
        <v>298</v>
      </c>
      <c r="B1250" s="7" t="s">
        <v>108</v>
      </c>
      <c r="C1250" s="24" t="s">
        <v>58</v>
      </c>
      <c r="D1250" s="24" t="s">
        <v>66</v>
      </c>
      <c r="E1250" s="8">
        <v>46219</v>
      </c>
      <c r="F1250" s="8">
        <v>46227</v>
      </c>
      <c r="G1250" s="9">
        <f t="shared" si="225"/>
        <v>9</v>
      </c>
      <c r="H1250" s="10"/>
      <c r="I1250" s="10"/>
      <c r="J1250" s="10"/>
      <c r="K1250" s="11">
        <f t="shared" si="226"/>
        <v>0</v>
      </c>
      <c r="L1250" s="11">
        <f t="shared" si="227"/>
        <v>0</v>
      </c>
      <c r="M1250" s="12" t="str">
        <f t="shared" si="228"/>
        <v/>
      </c>
      <c r="N1250" s="11">
        <f t="shared" si="229"/>
        <v>0</v>
      </c>
      <c r="O1250" s="12" t="str">
        <f t="shared" si="230"/>
        <v/>
      </c>
      <c r="P1250" s="12" t="str">
        <f t="shared" si="231"/>
        <v/>
      </c>
      <c r="Q1250" s="13" t="str">
        <f t="shared" si="223"/>
        <v/>
      </c>
      <c r="R1250" s="13" t="str">
        <f t="shared" si="224"/>
        <v/>
      </c>
    </row>
    <row r="1251" spans="1:18" ht="15.75" customHeight="1" x14ac:dyDescent="0.3">
      <c r="A1251" s="7" t="s">
        <v>298</v>
      </c>
      <c r="B1251" s="7" t="s">
        <v>109</v>
      </c>
      <c r="C1251" s="24" t="s">
        <v>58</v>
      </c>
      <c r="D1251" s="24" t="s">
        <v>68</v>
      </c>
      <c r="E1251" s="8">
        <v>46219</v>
      </c>
      <c r="F1251" s="8">
        <v>46227</v>
      </c>
      <c r="G1251" s="9">
        <f t="shared" si="225"/>
        <v>9</v>
      </c>
      <c r="H1251" s="10"/>
      <c r="I1251" s="10"/>
      <c r="J1251" s="10"/>
      <c r="K1251" s="11">
        <f t="shared" si="226"/>
        <v>0</v>
      </c>
      <c r="L1251" s="11">
        <f t="shared" si="227"/>
        <v>0</v>
      </c>
      <c r="M1251" s="12" t="str">
        <f t="shared" si="228"/>
        <v/>
      </c>
      <c r="N1251" s="11">
        <f t="shared" si="229"/>
        <v>0</v>
      </c>
      <c r="O1251" s="12" t="str">
        <f t="shared" si="230"/>
        <v/>
      </c>
      <c r="P1251" s="12" t="str">
        <f t="shared" si="231"/>
        <v/>
      </c>
      <c r="Q1251" s="13" t="str">
        <f t="shared" si="223"/>
        <v/>
      </c>
      <c r="R1251" s="13" t="str">
        <f t="shared" si="224"/>
        <v/>
      </c>
    </row>
    <row r="1252" spans="1:18" ht="15.75" customHeight="1" x14ac:dyDescent="0.3">
      <c r="A1252" s="7" t="s">
        <v>298</v>
      </c>
      <c r="B1252" s="7" t="s">
        <v>71</v>
      </c>
      <c r="C1252" s="24" t="s">
        <v>58</v>
      </c>
      <c r="D1252" s="24" t="s">
        <v>66</v>
      </c>
      <c r="E1252" s="8">
        <v>46219</v>
      </c>
      <c r="F1252" s="8">
        <v>46227</v>
      </c>
      <c r="G1252" s="9">
        <f t="shared" si="225"/>
        <v>9</v>
      </c>
      <c r="H1252" s="10"/>
      <c r="I1252" s="10"/>
      <c r="J1252" s="10"/>
      <c r="K1252" s="11">
        <f t="shared" si="226"/>
        <v>0</v>
      </c>
      <c r="L1252" s="11">
        <f t="shared" si="227"/>
        <v>0</v>
      </c>
      <c r="M1252" s="12" t="str">
        <f t="shared" si="228"/>
        <v/>
      </c>
      <c r="N1252" s="11">
        <f t="shared" si="229"/>
        <v>0</v>
      </c>
      <c r="O1252" s="12" t="str">
        <f t="shared" si="230"/>
        <v/>
      </c>
      <c r="P1252" s="12" t="str">
        <f t="shared" si="231"/>
        <v/>
      </c>
      <c r="Q1252" s="13" t="str">
        <f t="shared" si="223"/>
        <v/>
      </c>
      <c r="R1252" s="13" t="str">
        <f t="shared" si="224"/>
        <v/>
      </c>
    </row>
    <row r="1253" spans="1:18" ht="15.75" customHeight="1" x14ac:dyDescent="0.3">
      <c r="A1253" s="7" t="s">
        <v>298</v>
      </c>
      <c r="B1253" s="7" t="s">
        <v>72</v>
      </c>
      <c r="C1253" s="24" t="s">
        <v>58</v>
      </c>
      <c r="D1253" s="24" t="s">
        <v>68</v>
      </c>
      <c r="E1253" s="8">
        <v>46219</v>
      </c>
      <c r="F1253" s="8">
        <v>46227</v>
      </c>
      <c r="G1253" s="9">
        <f t="shared" si="225"/>
        <v>9</v>
      </c>
      <c r="H1253" s="10"/>
      <c r="I1253" s="10"/>
      <c r="J1253" s="10"/>
      <c r="K1253" s="11">
        <f t="shared" si="226"/>
        <v>0</v>
      </c>
      <c r="L1253" s="11">
        <f t="shared" si="227"/>
        <v>0</v>
      </c>
      <c r="M1253" s="12" t="str">
        <f t="shared" si="228"/>
        <v/>
      </c>
      <c r="N1253" s="11">
        <f t="shared" si="229"/>
        <v>0</v>
      </c>
      <c r="O1253" s="12" t="str">
        <f t="shared" si="230"/>
        <v/>
      </c>
      <c r="P1253" s="12" t="str">
        <f t="shared" si="231"/>
        <v/>
      </c>
      <c r="Q1253" s="13" t="str">
        <f t="shared" si="223"/>
        <v/>
      </c>
      <c r="R1253" s="13" t="str">
        <f t="shared" si="224"/>
        <v/>
      </c>
    </row>
    <row r="1254" spans="1:18" ht="15.75" customHeight="1" x14ac:dyDescent="0.3">
      <c r="A1254" s="7" t="s">
        <v>298</v>
      </c>
      <c r="B1254" s="7" t="s">
        <v>198</v>
      </c>
      <c r="C1254" s="24" t="s">
        <v>58</v>
      </c>
      <c r="D1254" s="24" t="s">
        <v>66</v>
      </c>
      <c r="E1254" s="8">
        <v>46219</v>
      </c>
      <c r="F1254" s="8">
        <v>46227</v>
      </c>
      <c r="G1254" s="9">
        <f t="shared" si="225"/>
        <v>9</v>
      </c>
      <c r="H1254" s="10"/>
      <c r="I1254" s="10"/>
      <c r="J1254" s="10"/>
      <c r="K1254" s="11">
        <f t="shared" si="226"/>
        <v>0</v>
      </c>
      <c r="L1254" s="11">
        <f t="shared" si="227"/>
        <v>0</v>
      </c>
      <c r="M1254" s="12" t="str">
        <f t="shared" si="228"/>
        <v/>
      </c>
      <c r="N1254" s="11">
        <f t="shared" si="229"/>
        <v>0</v>
      </c>
      <c r="O1254" s="12" t="str">
        <f t="shared" si="230"/>
        <v/>
      </c>
      <c r="P1254" s="12" t="str">
        <f t="shared" si="231"/>
        <v/>
      </c>
      <c r="Q1254" s="13" t="str">
        <f t="shared" si="223"/>
        <v/>
      </c>
      <c r="R1254" s="13" t="str">
        <f t="shared" si="224"/>
        <v/>
      </c>
    </row>
    <row r="1255" spans="1:18" ht="15.75" customHeight="1" x14ac:dyDescent="0.3">
      <c r="A1255" s="7" t="s">
        <v>298</v>
      </c>
      <c r="B1255" s="7" t="s">
        <v>199</v>
      </c>
      <c r="C1255" s="24" t="s">
        <v>58</v>
      </c>
      <c r="D1255" s="24" t="s">
        <v>68</v>
      </c>
      <c r="E1255" s="8">
        <v>46219</v>
      </c>
      <c r="F1255" s="8">
        <v>46227</v>
      </c>
      <c r="G1255" s="9">
        <f t="shared" si="225"/>
        <v>9</v>
      </c>
      <c r="H1255" s="10"/>
      <c r="I1255" s="10"/>
      <c r="J1255" s="10"/>
      <c r="K1255" s="11">
        <f t="shared" si="226"/>
        <v>0</v>
      </c>
      <c r="L1255" s="11">
        <f t="shared" si="227"/>
        <v>0</v>
      </c>
      <c r="M1255" s="12" t="str">
        <f t="shared" si="228"/>
        <v/>
      </c>
      <c r="N1255" s="11">
        <f t="shared" si="229"/>
        <v>0</v>
      </c>
      <c r="O1255" s="12" t="str">
        <f t="shared" si="230"/>
        <v/>
      </c>
      <c r="P1255" s="12" t="str">
        <f t="shared" si="231"/>
        <v/>
      </c>
      <c r="Q1255" s="13" t="str">
        <f t="shared" si="223"/>
        <v/>
      </c>
      <c r="R1255" s="13" t="str">
        <f t="shared" si="224"/>
        <v/>
      </c>
    </row>
    <row r="1256" spans="1:18" ht="15.75" customHeight="1" x14ac:dyDescent="0.3">
      <c r="A1256" s="7" t="s">
        <v>298</v>
      </c>
      <c r="B1256" s="7" t="s">
        <v>114</v>
      </c>
      <c r="C1256" s="24" t="s">
        <v>58</v>
      </c>
      <c r="D1256" s="24" t="s">
        <v>74</v>
      </c>
      <c r="E1256" s="8">
        <v>46219</v>
      </c>
      <c r="F1256" s="8">
        <v>46227</v>
      </c>
      <c r="G1256" s="9">
        <f t="shared" si="225"/>
        <v>9</v>
      </c>
      <c r="H1256" s="10"/>
      <c r="I1256" s="10"/>
      <c r="J1256" s="10"/>
      <c r="K1256" s="11">
        <f t="shared" si="226"/>
        <v>0</v>
      </c>
      <c r="L1256" s="11">
        <f t="shared" si="227"/>
        <v>0</v>
      </c>
      <c r="M1256" s="12" t="str">
        <f t="shared" si="228"/>
        <v/>
      </c>
      <c r="N1256" s="11">
        <f t="shared" si="229"/>
        <v>0</v>
      </c>
      <c r="O1256" s="12" t="str">
        <f t="shared" si="230"/>
        <v/>
      </c>
      <c r="P1256" s="12" t="str">
        <f t="shared" si="231"/>
        <v/>
      </c>
      <c r="Q1256" s="13" t="str">
        <f t="shared" si="223"/>
        <v/>
      </c>
      <c r="R1256" s="13" t="str">
        <f t="shared" si="224"/>
        <v/>
      </c>
    </row>
    <row r="1257" spans="1:18" ht="15.75" customHeight="1" x14ac:dyDescent="0.3">
      <c r="A1257" s="7" t="s">
        <v>298</v>
      </c>
      <c r="B1257" s="7" t="s">
        <v>115</v>
      </c>
      <c r="C1257" s="24" t="s">
        <v>58</v>
      </c>
      <c r="D1257" s="24" t="s">
        <v>74</v>
      </c>
      <c r="E1257" s="8">
        <v>46219</v>
      </c>
      <c r="F1257" s="8">
        <v>46227</v>
      </c>
      <c r="G1257" s="9">
        <f t="shared" si="225"/>
        <v>9</v>
      </c>
      <c r="H1257" s="10"/>
      <c r="I1257" s="10"/>
      <c r="J1257" s="10"/>
      <c r="K1257" s="11">
        <f t="shared" si="226"/>
        <v>0</v>
      </c>
      <c r="L1257" s="11">
        <f t="shared" si="227"/>
        <v>0</v>
      </c>
      <c r="M1257" s="12" t="str">
        <f t="shared" si="228"/>
        <v/>
      </c>
      <c r="N1257" s="11">
        <f t="shared" si="229"/>
        <v>0</v>
      </c>
      <c r="O1257" s="12" t="str">
        <f t="shared" si="230"/>
        <v/>
      </c>
      <c r="P1257" s="12" t="str">
        <f t="shared" si="231"/>
        <v/>
      </c>
      <c r="Q1257" s="13" t="str">
        <f t="shared" si="223"/>
        <v/>
      </c>
      <c r="R1257" s="13" t="str">
        <f t="shared" si="224"/>
        <v/>
      </c>
    </row>
    <row r="1258" spans="1:18" ht="15.75" customHeight="1" x14ac:dyDescent="0.3">
      <c r="A1258" s="7" t="s">
        <v>298</v>
      </c>
      <c r="B1258" s="7" t="s">
        <v>133</v>
      </c>
      <c r="C1258" s="24" t="s">
        <v>58</v>
      </c>
      <c r="D1258" s="24" t="s">
        <v>74</v>
      </c>
      <c r="E1258" s="8">
        <v>46219</v>
      </c>
      <c r="F1258" s="8">
        <v>46227</v>
      </c>
      <c r="G1258" s="9">
        <f t="shared" si="225"/>
        <v>9</v>
      </c>
      <c r="H1258" s="10"/>
      <c r="I1258" s="10"/>
      <c r="J1258" s="10"/>
      <c r="K1258" s="11">
        <f t="shared" si="226"/>
        <v>0</v>
      </c>
      <c r="L1258" s="11">
        <f t="shared" si="227"/>
        <v>0</v>
      </c>
      <c r="M1258" s="12" t="str">
        <f t="shared" si="228"/>
        <v/>
      </c>
      <c r="N1258" s="11">
        <f t="shared" si="229"/>
        <v>0</v>
      </c>
      <c r="O1258" s="12" t="str">
        <f t="shared" si="230"/>
        <v/>
      </c>
      <c r="P1258" s="12" t="str">
        <f t="shared" si="231"/>
        <v/>
      </c>
      <c r="Q1258" s="13" t="str">
        <f t="shared" si="223"/>
        <v/>
      </c>
      <c r="R1258" s="13" t="str">
        <f t="shared" si="224"/>
        <v/>
      </c>
    </row>
    <row r="1259" spans="1:18" ht="15.75" customHeight="1" x14ac:dyDescent="0.3">
      <c r="A1259" s="7" t="s">
        <v>298</v>
      </c>
      <c r="B1259" s="7" t="s">
        <v>210</v>
      </c>
      <c r="C1259" s="24" t="s">
        <v>58</v>
      </c>
      <c r="D1259" s="24" t="s">
        <v>59</v>
      </c>
      <c r="E1259" s="8">
        <v>46219</v>
      </c>
      <c r="F1259" s="8">
        <v>46227</v>
      </c>
      <c r="G1259" s="9">
        <f t="shared" si="225"/>
        <v>9</v>
      </c>
      <c r="H1259" s="10"/>
      <c r="I1259" s="10"/>
      <c r="J1259" s="10"/>
      <c r="K1259" s="11">
        <f t="shared" si="226"/>
        <v>0</v>
      </c>
      <c r="L1259" s="11">
        <f t="shared" si="227"/>
        <v>0</v>
      </c>
      <c r="M1259" s="12" t="str">
        <f t="shared" si="228"/>
        <v/>
      </c>
      <c r="N1259" s="11">
        <f t="shared" si="229"/>
        <v>0</v>
      </c>
      <c r="O1259" s="12" t="str">
        <f t="shared" si="230"/>
        <v/>
      </c>
      <c r="P1259" s="12" t="str">
        <f t="shared" si="231"/>
        <v/>
      </c>
      <c r="Q1259" s="13" t="str">
        <f t="shared" si="223"/>
        <v/>
      </c>
      <c r="R1259" s="13" t="str">
        <f t="shared" si="224"/>
        <v/>
      </c>
    </row>
    <row r="1260" spans="1:18" ht="15.75" customHeight="1" x14ac:dyDescent="0.3">
      <c r="A1260" s="7" t="s">
        <v>298</v>
      </c>
      <c r="B1260" s="7" t="s">
        <v>270</v>
      </c>
      <c r="C1260" s="24" t="s">
        <v>47</v>
      </c>
      <c r="D1260" s="24" t="s">
        <v>48</v>
      </c>
      <c r="E1260" s="8">
        <v>46219</v>
      </c>
      <c r="F1260" s="8">
        <v>46227</v>
      </c>
      <c r="G1260" s="9">
        <f t="shared" si="225"/>
        <v>9</v>
      </c>
      <c r="H1260" s="10"/>
      <c r="I1260" s="10"/>
      <c r="J1260" s="10"/>
      <c r="K1260" s="11">
        <f t="shared" si="226"/>
        <v>0</v>
      </c>
      <c r="L1260" s="11">
        <f t="shared" si="227"/>
        <v>0</v>
      </c>
      <c r="M1260" s="12" t="str">
        <f t="shared" si="228"/>
        <v/>
      </c>
      <c r="N1260" s="11">
        <f t="shared" si="229"/>
        <v>0</v>
      </c>
      <c r="O1260" s="12" t="str">
        <f t="shared" si="230"/>
        <v/>
      </c>
      <c r="P1260" s="12" t="str">
        <f t="shared" si="231"/>
        <v/>
      </c>
      <c r="Q1260" s="13" t="str">
        <f t="shared" si="223"/>
        <v/>
      </c>
      <c r="R1260" s="13" t="str">
        <f t="shared" si="224"/>
        <v/>
      </c>
    </row>
    <row r="1261" spans="1:18" ht="15.75" customHeight="1" x14ac:dyDescent="0.3">
      <c r="A1261" s="7" t="s">
        <v>298</v>
      </c>
      <c r="B1261" s="7" t="s">
        <v>271</v>
      </c>
      <c r="C1261" s="24" t="s">
        <v>47</v>
      </c>
      <c r="D1261" s="24" t="s">
        <v>48</v>
      </c>
      <c r="E1261" s="8">
        <v>46219</v>
      </c>
      <c r="F1261" s="8">
        <v>46227</v>
      </c>
      <c r="G1261" s="9">
        <f t="shared" si="225"/>
        <v>9</v>
      </c>
      <c r="H1261" s="10"/>
      <c r="I1261" s="10"/>
      <c r="J1261" s="10"/>
      <c r="K1261" s="11">
        <f t="shared" si="226"/>
        <v>0</v>
      </c>
      <c r="L1261" s="11">
        <f t="shared" si="227"/>
        <v>0</v>
      </c>
      <c r="M1261" s="12" t="str">
        <f t="shared" si="228"/>
        <v/>
      </c>
      <c r="N1261" s="11">
        <f t="shared" si="229"/>
        <v>0</v>
      </c>
      <c r="O1261" s="12" t="str">
        <f t="shared" si="230"/>
        <v/>
      </c>
      <c r="P1261" s="12" t="str">
        <f t="shared" si="231"/>
        <v/>
      </c>
      <c r="Q1261" s="13" t="str">
        <f t="shared" ref="Q1261:Q1308" si="232">IFERROR((I1261/H1261)*K1261,"")</f>
        <v/>
      </c>
      <c r="R1261" s="13" t="str">
        <f t="shared" ref="R1261:R1308" si="233">IFERROR((J1261/H1261)*K1261,"")</f>
        <v/>
      </c>
    </row>
    <row r="1262" spans="1:18" ht="15.75" customHeight="1" x14ac:dyDescent="0.3">
      <c r="A1262" s="7" t="s">
        <v>301</v>
      </c>
      <c r="B1262" s="7" t="s">
        <v>33</v>
      </c>
      <c r="C1262" s="24" t="s">
        <v>34</v>
      </c>
      <c r="D1262" s="24" t="s">
        <v>35</v>
      </c>
      <c r="E1262" s="8">
        <v>46228</v>
      </c>
      <c r="F1262" s="8">
        <v>46234</v>
      </c>
      <c r="G1262" s="9">
        <f t="shared" si="225"/>
        <v>7</v>
      </c>
      <c r="H1262" s="10"/>
      <c r="I1262" s="10"/>
      <c r="J1262" s="10"/>
      <c r="K1262" s="11">
        <f t="shared" si="226"/>
        <v>0</v>
      </c>
      <c r="L1262" s="11">
        <f t="shared" si="227"/>
        <v>0</v>
      </c>
      <c r="M1262" s="12" t="str">
        <f t="shared" si="228"/>
        <v/>
      </c>
      <c r="N1262" s="11">
        <f t="shared" si="229"/>
        <v>0</v>
      </c>
      <c r="O1262" s="12" t="str">
        <f t="shared" si="230"/>
        <v/>
      </c>
      <c r="P1262" s="12" t="str">
        <f t="shared" si="231"/>
        <v/>
      </c>
      <c r="Q1262" s="13" t="str">
        <f t="shared" si="232"/>
        <v/>
      </c>
      <c r="R1262" s="13" t="str">
        <f t="shared" si="233"/>
        <v/>
      </c>
    </row>
    <row r="1263" spans="1:18" ht="15.75" customHeight="1" x14ac:dyDescent="0.3">
      <c r="A1263" s="7" t="s">
        <v>301</v>
      </c>
      <c r="B1263" s="7" t="s">
        <v>36</v>
      </c>
      <c r="C1263" s="24" t="s">
        <v>34</v>
      </c>
      <c r="D1263" s="24" t="s">
        <v>35</v>
      </c>
      <c r="E1263" s="8">
        <v>46228</v>
      </c>
      <c r="F1263" s="8">
        <v>46234</v>
      </c>
      <c r="G1263" s="9">
        <f t="shared" si="225"/>
        <v>7</v>
      </c>
      <c r="H1263" s="10"/>
      <c r="I1263" s="10"/>
      <c r="J1263" s="10"/>
      <c r="K1263" s="11">
        <f t="shared" si="226"/>
        <v>0</v>
      </c>
      <c r="L1263" s="11">
        <f t="shared" si="227"/>
        <v>0</v>
      </c>
      <c r="M1263" s="12" t="str">
        <f t="shared" si="228"/>
        <v/>
      </c>
      <c r="N1263" s="11">
        <f t="shared" si="229"/>
        <v>0</v>
      </c>
      <c r="O1263" s="12" t="str">
        <f t="shared" si="230"/>
        <v/>
      </c>
      <c r="P1263" s="12" t="str">
        <f t="shared" si="231"/>
        <v/>
      </c>
      <c r="Q1263" s="13" t="str">
        <f t="shared" si="232"/>
        <v/>
      </c>
      <c r="R1263" s="13" t="str">
        <f t="shared" si="233"/>
        <v/>
      </c>
    </row>
    <row r="1264" spans="1:18" ht="15.75" customHeight="1" x14ac:dyDescent="0.3">
      <c r="A1264" s="7" t="s">
        <v>301</v>
      </c>
      <c r="B1264" s="7" t="s">
        <v>282</v>
      </c>
      <c r="C1264" s="24" t="s">
        <v>34</v>
      </c>
      <c r="D1264" s="24" t="s">
        <v>35</v>
      </c>
      <c r="E1264" s="8">
        <v>46228</v>
      </c>
      <c r="F1264" s="8">
        <v>46234</v>
      </c>
      <c r="G1264" s="9">
        <f t="shared" si="225"/>
        <v>7</v>
      </c>
      <c r="H1264" s="10"/>
      <c r="I1264" s="10"/>
      <c r="J1264" s="10"/>
      <c r="K1264" s="11">
        <f t="shared" si="226"/>
        <v>0</v>
      </c>
      <c r="L1264" s="11">
        <f t="shared" si="227"/>
        <v>0</v>
      </c>
      <c r="M1264" s="12" t="str">
        <f t="shared" si="228"/>
        <v/>
      </c>
      <c r="N1264" s="11">
        <f t="shared" si="229"/>
        <v>0</v>
      </c>
      <c r="O1264" s="12" t="str">
        <f t="shared" si="230"/>
        <v/>
      </c>
      <c r="P1264" s="12" t="str">
        <f t="shared" si="231"/>
        <v/>
      </c>
      <c r="Q1264" s="13" t="str">
        <f t="shared" si="232"/>
        <v/>
      </c>
      <c r="R1264" s="13" t="str">
        <f t="shared" si="233"/>
        <v/>
      </c>
    </row>
    <row r="1265" spans="1:18" ht="15.75" customHeight="1" x14ac:dyDescent="0.3">
      <c r="A1265" s="7" t="s">
        <v>301</v>
      </c>
      <c r="B1265" s="7" t="s">
        <v>78</v>
      </c>
      <c r="C1265" s="24" t="s">
        <v>34</v>
      </c>
      <c r="D1265" s="24" t="s">
        <v>35</v>
      </c>
      <c r="E1265" s="8">
        <v>46228</v>
      </c>
      <c r="F1265" s="8">
        <v>46234</v>
      </c>
      <c r="G1265" s="9">
        <f t="shared" si="225"/>
        <v>7</v>
      </c>
      <c r="H1265" s="10"/>
      <c r="I1265" s="10"/>
      <c r="J1265" s="10"/>
      <c r="K1265" s="11">
        <f t="shared" si="226"/>
        <v>0</v>
      </c>
      <c r="L1265" s="11">
        <f t="shared" si="227"/>
        <v>0</v>
      </c>
      <c r="M1265" s="12" t="str">
        <f t="shared" si="228"/>
        <v/>
      </c>
      <c r="N1265" s="11">
        <f t="shared" si="229"/>
        <v>0</v>
      </c>
      <c r="O1265" s="12" t="str">
        <f t="shared" si="230"/>
        <v/>
      </c>
      <c r="P1265" s="12" t="str">
        <f t="shared" si="231"/>
        <v/>
      </c>
      <c r="Q1265" s="13" t="str">
        <f t="shared" si="232"/>
        <v/>
      </c>
      <c r="R1265" s="13" t="str">
        <f t="shared" si="233"/>
        <v/>
      </c>
    </row>
    <row r="1266" spans="1:18" ht="15.75" customHeight="1" x14ac:dyDescent="0.3">
      <c r="A1266" s="7" t="s">
        <v>301</v>
      </c>
      <c r="B1266" s="7" t="s">
        <v>242</v>
      </c>
      <c r="C1266" s="24" t="s">
        <v>34</v>
      </c>
      <c r="D1266" s="24" t="s">
        <v>35</v>
      </c>
      <c r="E1266" s="8">
        <v>46228</v>
      </c>
      <c r="F1266" s="8">
        <v>46234</v>
      </c>
      <c r="G1266" s="9">
        <f t="shared" si="225"/>
        <v>7</v>
      </c>
      <c r="H1266" s="10"/>
      <c r="I1266" s="10"/>
      <c r="J1266" s="10"/>
      <c r="K1266" s="11">
        <f t="shared" si="226"/>
        <v>0</v>
      </c>
      <c r="L1266" s="11">
        <f t="shared" si="227"/>
        <v>0</v>
      </c>
      <c r="M1266" s="12" t="str">
        <f t="shared" si="228"/>
        <v/>
      </c>
      <c r="N1266" s="11">
        <f t="shared" si="229"/>
        <v>0</v>
      </c>
      <c r="O1266" s="12" t="str">
        <f t="shared" si="230"/>
        <v/>
      </c>
      <c r="P1266" s="12" t="str">
        <f t="shared" si="231"/>
        <v/>
      </c>
      <c r="Q1266" s="13" t="str">
        <f t="shared" si="232"/>
        <v/>
      </c>
      <c r="R1266" s="13" t="str">
        <f t="shared" si="233"/>
        <v/>
      </c>
    </row>
    <row r="1267" spans="1:18" ht="15.75" customHeight="1" x14ac:dyDescent="0.3">
      <c r="A1267" s="7" t="s">
        <v>301</v>
      </c>
      <c r="B1267" s="7" t="s">
        <v>90</v>
      </c>
      <c r="C1267" s="24" t="s">
        <v>34</v>
      </c>
      <c r="D1267" s="24" t="s">
        <v>91</v>
      </c>
      <c r="E1267" s="8">
        <v>46228</v>
      </c>
      <c r="F1267" s="8">
        <v>46234</v>
      </c>
      <c r="G1267" s="9">
        <f t="shared" ref="G1267:G1308" si="234">F1267-E1267+1</f>
        <v>7</v>
      </c>
      <c r="H1267" s="10"/>
      <c r="I1267" s="10"/>
      <c r="J1267" s="10"/>
      <c r="K1267" s="11">
        <f t="shared" si="226"/>
        <v>0</v>
      </c>
      <c r="L1267" s="11">
        <f t="shared" si="227"/>
        <v>0</v>
      </c>
      <c r="M1267" s="12" t="str">
        <f t="shared" si="228"/>
        <v/>
      </c>
      <c r="N1267" s="11">
        <f t="shared" si="229"/>
        <v>0</v>
      </c>
      <c r="O1267" s="12" t="str">
        <f t="shared" si="230"/>
        <v/>
      </c>
      <c r="P1267" s="12" t="str">
        <f t="shared" si="231"/>
        <v/>
      </c>
      <c r="Q1267" s="13" t="str">
        <f t="shared" si="232"/>
        <v/>
      </c>
      <c r="R1267" s="13" t="str">
        <f t="shared" si="233"/>
        <v/>
      </c>
    </row>
    <row r="1268" spans="1:18" ht="15.75" customHeight="1" x14ac:dyDescent="0.3">
      <c r="A1268" s="7" t="s">
        <v>301</v>
      </c>
      <c r="B1268" s="7" t="s">
        <v>283</v>
      </c>
      <c r="C1268" s="24" t="s">
        <v>34</v>
      </c>
      <c r="D1268" s="24" t="s">
        <v>91</v>
      </c>
      <c r="E1268" s="8">
        <v>46228</v>
      </c>
      <c r="F1268" s="8">
        <v>46234</v>
      </c>
      <c r="G1268" s="9">
        <f t="shared" si="234"/>
        <v>7</v>
      </c>
      <c r="H1268" s="10"/>
      <c r="I1268" s="10"/>
      <c r="J1268" s="10"/>
      <c r="K1268" s="11">
        <f t="shared" si="226"/>
        <v>0</v>
      </c>
      <c r="L1268" s="11">
        <f t="shared" si="227"/>
        <v>0</v>
      </c>
      <c r="M1268" s="12" t="str">
        <f t="shared" si="228"/>
        <v/>
      </c>
      <c r="N1268" s="11">
        <f t="shared" si="229"/>
        <v>0</v>
      </c>
      <c r="O1268" s="12" t="str">
        <f t="shared" si="230"/>
        <v/>
      </c>
      <c r="P1268" s="12" t="str">
        <f t="shared" si="231"/>
        <v/>
      </c>
      <c r="Q1268" s="13" t="str">
        <f t="shared" si="232"/>
        <v/>
      </c>
      <c r="R1268" s="13" t="str">
        <f t="shared" si="233"/>
        <v/>
      </c>
    </row>
    <row r="1269" spans="1:18" ht="15.75" customHeight="1" x14ac:dyDescent="0.3">
      <c r="A1269" s="7" t="s">
        <v>301</v>
      </c>
      <c r="B1269" s="7" t="s">
        <v>284</v>
      </c>
      <c r="C1269" s="24" t="s">
        <v>34</v>
      </c>
      <c r="D1269" s="24" t="s">
        <v>91</v>
      </c>
      <c r="E1269" s="8">
        <v>46228</v>
      </c>
      <c r="F1269" s="8">
        <v>46234</v>
      </c>
      <c r="G1269" s="9">
        <f t="shared" si="234"/>
        <v>7</v>
      </c>
      <c r="H1269" s="10"/>
      <c r="I1269" s="10"/>
      <c r="J1269" s="10"/>
      <c r="K1269" s="11">
        <f t="shared" si="226"/>
        <v>0</v>
      </c>
      <c r="L1269" s="11">
        <f t="shared" si="227"/>
        <v>0</v>
      </c>
      <c r="M1269" s="12" t="str">
        <f t="shared" si="228"/>
        <v/>
      </c>
      <c r="N1269" s="11">
        <f t="shared" si="229"/>
        <v>0</v>
      </c>
      <c r="O1269" s="12" t="str">
        <f t="shared" si="230"/>
        <v/>
      </c>
      <c r="P1269" s="12" t="str">
        <f t="shared" si="231"/>
        <v/>
      </c>
      <c r="Q1269" s="13" t="str">
        <f t="shared" si="232"/>
        <v/>
      </c>
      <c r="R1269" s="13" t="str">
        <f t="shared" si="233"/>
        <v/>
      </c>
    </row>
    <row r="1270" spans="1:18" ht="15.75" customHeight="1" x14ac:dyDescent="0.3">
      <c r="A1270" s="7" t="s">
        <v>301</v>
      </c>
      <c r="B1270" s="7" t="s">
        <v>41</v>
      </c>
      <c r="C1270" s="24" t="s">
        <v>34</v>
      </c>
      <c r="D1270" s="24" t="s">
        <v>39</v>
      </c>
      <c r="E1270" s="8">
        <v>46228</v>
      </c>
      <c r="F1270" s="8">
        <v>46234</v>
      </c>
      <c r="G1270" s="9">
        <f t="shared" si="234"/>
        <v>7</v>
      </c>
      <c r="H1270" s="10"/>
      <c r="I1270" s="10"/>
      <c r="J1270" s="10"/>
      <c r="K1270" s="11">
        <f t="shared" si="226"/>
        <v>0</v>
      </c>
      <c r="L1270" s="11">
        <f t="shared" si="227"/>
        <v>0</v>
      </c>
      <c r="M1270" s="12" t="str">
        <f t="shared" si="228"/>
        <v/>
      </c>
      <c r="N1270" s="11">
        <f t="shared" si="229"/>
        <v>0</v>
      </c>
      <c r="O1270" s="12" t="str">
        <f t="shared" si="230"/>
        <v/>
      </c>
      <c r="P1270" s="12" t="str">
        <f t="shared" si="231"/>
        <v/>
      </c>
      <c r="Q1270" s="13" t="str">
        <f t="shared" si="232"/>
        <v/>
      </c>
      <c r="R1270" s="13" t="str">
        <f t="shared" si="233"/>
        <v/>
      </c>
    </row>
    <row r="1271" spans="1:18" ht="15.75" customHeight="1" x14ac:dyDescent="0.3">
      <c r="A1271" s="7" t="s">
        <v>301</v>
      </c>
      <c r="B1271" s="7" t="s">
        <v>42</v>
      </c>
      <c r="C1271" s="24" t="s">
        <v>34</v>
      </c>
      <c r="D1271" s="24" t="s">
        <v>39</v>
      </c>
      <c r="E1271" s="8">
        <v>46228</v>
      </c>
      <c r="F1271" s="8">
        <v>46234</v>
      </c>
      <c r="G1271" s="9">
        <f t="shared" si="234"/>
        <v>7</v>
      </c>
      <c r="H1271" s="10"/>
      <c r="I1271" s="10"/>
      <c r="J1271" s="10"/>
      <c r="K1271" s="11">
        <f t="shared" si="226"/>
        <v>0</v>
      </c>
      <c r="L1271" s="11">
        <f t="shared" si="227"/>
        <v>0</v>
      </c>
      <c r="M1271" s="12" t="str">
        <f t="shared" si="228"/>
        <v/>
      </c>
      <c r="N1271" s="11">
        <f t="shared" si="229"/>
        <v>0</v>
      </c>
      <c r="O1271" s="12" t="str">
        <f t="shared" si="230"/>
        <v/>
      </c>
      <c r="P1271" s="12" t="str">
        <f t="shared" si="231"/>
        <v/>
      </c>
      <c r="Q1271" s="13" t="str">
        <f t="shared" si="232"/>
        <v/>
      </c>
      <c r="R1271" s="13" t="str">
        <f t="shared" si="233"/>
        <v/>
      </c>
    </row>
    <row r="1272" spans="1:18" ht="15.75" customHeight="1" x14ac:dyDescent="0.3">
      <c r="A1272" s="7" t="s">
        <v>301</v>
      </c>
      <c r="B1272" s="7" t="s">
        <v>45</v>
      </c>
      <c r="C1272" s="24" t="s">
        <v>34</v>
      </c>
      <c r="D1272" s="24" t="s">
        <v>44</v>
      </c>
      <c r="E1272" s="8">
        <v>46228</v>
      </c>
      <c r="F1272" s="8">
        <v>46234</v>
      </c>
      <c r="G1272" s="9">
        <f t="shared" si="234"/>
        <v>7</v>
      </c>
      <c r="H1272" s="10"/>
      <c r="I1272" s="10"/>
      <c r="J1272" s="10"/>
      <c r="K1272" s="11">
        <f t="shared" ref="K1272:K1308" si="235">IFERROR(H1272/G1272,"")</f>
        <v>0</v>
      </c>
      <c r="L1272" s="11">
        <f t="shared" ref="L1272:L1308" si="236">IFERROR(I1272/G1272,"")</f>
        <v>0</v>
      </c>
      <c r="M1272" s="12" t="str">
        <f t="shared" ref="M1272:M1308" si="237">IFERROR(I1272/H1272,"")</f>
        <v/>
      </c>
      <c r="N1272" s="11">
        <f t="shared" ref="N1272:N1308" si="238">IFERROR(J1272/G1272,"")</f>
        <v>0</v>
      </c>
      <c r="O1272" s="12" t="str">
        <f t="shared" ref="O1272:O1308" si="239">IFERROR(J1272/I1272,"")</f>
        <v/>
      </c>
      <c r="P1272" s="12" t="str">
        <f t="shared" ref="P1272:P1308" si="240">IFERROR(J1272/H1272,"")</f>
        <v/>
      </c>
      <c r="Q1272" s="13" t="str">
        <f t="shared" si="232"/>
        <v/>
      </c>
      <c r="R1272" s="13" t="str">
        <f t="shared" si="233"/>
        <v/>
      </c>
    </row>
    <row r="1273" spans="1:18" ht="15.75" customHeight="1" x14ac:dyDescent="0.3">
      <c r="A1273" s="7" t="s">
        <v>301</v>
      </c>
      <c r="B1273" s="7" t="s">
        <v>220</v>
      </c>
      <c r="C1273" s="24" t="s">
        <v>34</v>
      </c>
      <c r="D1273" s="24" t="s">
        <v>44</v>
      </c>
      <c r="E1273" s="8">
        <v>46228</v>
      </c>
      <c r="F1273" s="8">
        <v>46234</v>
      </c>
      <c r="G1273" s="9">
        <f t="shared" si="234"/>
        <v>7</v>
      </c>
      <c r="H1273" s="10"/>
      <c r="I1273" s="10"/>
      <c r="J1273" s="10"/>
      <c r="K1273" s="11">
        <f t="shared" si="235"/>
        <v>0</v>
      </c>
      <c r="L1273" s="11">
        <f t="shared" si="236"/>
        <v>0</v>
      </c>
      <c r="M1273" s="12" t="str">
        <f t="shared" si="237"/>
        <v/>
      </c>
      <c r="N1273" s="11">
        <f t="shared" si="238"/>
        <v>0</v>
      </c>
      <c r="O1273" s="12" t="str">
        <f t="shared" si="239"/>
        <v/>
      </c>
      <c r="P1273" s="12" t="str">
        <f t="shared" si="240"/>
        <v/>
      </c>
      <c r="Q1273" s="13" t="str">
        <f t="shared" si="232"/>
        <v/>
      </c>
      <c r="R1273" s="13" t="str">
        <f t="shared" si="233"/>
        <v/>
      </c>
    </row>
    <row r="1274" spans="1:18" ht="15.75" customHeight="1" x14ac:dyDescent="0.3">
      <c r="A1274" s="7" t="s">
        <v>301</v>
      </c>
      <c r="B1274" s="7" t="s">
        <v>43</v>
      </c>
      <c r="C1274" s="24" t="s">
        <v>34</v>
      </c>
      <c r="D1274" s="24" t="s">
        <v>44</v>
      </c>
      <c r="E1274" s="8">
        <v>46228</v>
      </c>
      <c r="F1274" s="8">
        <v>46234</v>
      </c>
      <c r="G1274" s="9">
        <f t="shared" si="234"/>
        <v>7</v>
      </c>
      <c r="H1274" s="10"/>
      <c r="I1274" s="10"/>
      <c r="J1274" s="10"/>
      <c r="K1274" s="11">
        <f t="shared" si="235"/>
        <v>0</v>
      </c>
      <c r="L1274" s="11">
        <f t="shared" si="236"/>
        <v>0</v>
      </c>
      <c r="M1274" s="12" t="str">
        <f t="shared" si="237"/>
        <v/>
      </c>
      <c r="N1274" s="11">
        <f t="shared" si="238"/>
        <v>0</v>
      </c>
      <c r="O1274" s="12" t="str">
        <f t="shared" si="239"/>
        <v/>
      </c>
      <c r="P1274" s="12" t="str">
        <f t="shared" si="240"/>
        <v/>
      </c>
      <c r="Q1274" s="13" t="str">
        <f t="shared" si="232"/>
        <v/>
      </c>
      <c r="R1274" s="13" t="str">
        <f t="shared" si="233"/>
        <v/>
      </c>
    </row>
    <row r="1275" spans="1:18" ht="15.75" customHeight="1" x14ac:dyDescent="0.3">
      <c r="A1275" s="7" t="s">
        <v>301</v>
      </c>
      <c r="B1275" s="7" t="s">
        <v>117</v>
      </c>
      <c r="C1275" s="24" t="s">
        <v>47</v>
      </c>
      <c r="D1275" s="24" t="s">
        <v>48</v>
      </c>
      <c r="E1275" s="8">
        <v>46228</v>
      </c>
      <c r="F1275" s="8">
        <v>46234</v>
      </c>
      <c r="G1275" s="9">
        <f t="shared" si="234"/>
        <v>7</v>
      </c>
      <c r="H1275" s="10"/>
      <c r="I1275" s="10"/>
      <c r="J1275" s="10"/>
      <c r="K1275" s="11">
        <f t="shared" si="235"/>
        <v>0</v>
      </c>
      <c r="L1275" s="11">
        <f t="shared" si="236"/>
        <v>0</v>
      </c>
      <c r="M1275" s="12" t="str">
        <f t="shared" si="237"/>
        <v/>
      </c>
      <c r="N1275" s="11">
        <f t="shared" si="238"/>
        <v>0</v>
      </c>
      <c r="O1275" s="12" t="str">
        <f t="shared" si="239"/>
        <v/>
      </c>
      <c r="P1275" s="12" t="str">
        <f t="shared" si="240"/>
        <v/>
      </c>
      <c r="Q1275" s="13" t="str">
        <f t="shared" si="232"/>
        <v/>
      </c>
      <c r="R1275" s="13" t="str">
        <f t="shared" si="233"/>
        <v/>
      </c>
    </row>
    <row r="1276" spans="1:18" ht="15.75" customHeight="1" x14ac:dyDescent="0.3">
      <c r="A1276" s="7" t="s">
        <v>301</v>
      </c>
      <c r="B1276" s="7" t="s">
        <v>118</v>
      </c>
      <c r="C1276" s="24" t="s">
        <v>47</v>
      </c>
      <c r="D1276" s="24" t="s">
        <v>48</v>
      </c>
      <c r="E1276" s="8">
        <v>46228</v>
      </c>
      <c r="F1276" s="8">
        <v>46234</v>
      </c>
      <c r="G1276" s="9">
        <f t="shared" si="234"/>
        <v>7</v>
      </c>
      <c r="H1276" s="10"/>
      <c r="I1276" s="10"/>
      <c r="J1276" s="10"/>
      <c r="K1276" s="11">
        <f t="shared" si="235"/>
        <v>0</v>
      </c>
      <c r="L1276" s="11">
        <f t="shared" si="236"/>
        <v>0</v>
      </c>
      <c r="M1276" s="12" t="str">
        <f t="shared" si="237"/>
        <v/>
      </c>
      <c r="N1276" s="11">
        <f t="shared" si="238"/>
        <v>0</v>
      </c>
      <c r="O1276" s="12" t="str">
        <f t="shared" si="239"/>
        <v/>
      </c>
      <c r="P1276" s="12" t="str">
        <f t="shared" si="240"/>
        <v/>
      </c>
      <c r="Q1276" s="13" t="str">
        <f t="shared" si="232"/>
        <v/>
      </c>
      <c r="R1276" s="13" t="str">
        <f t="shared" si="233"/>
        <v/>
      </c>
    </row>
    <row r="1277" spans="1:18" ht="15.75" customHeight="1" x14ac:dyDescent="0.3">
      <c r="A1277" s="7" t="s">
        <v>301</v>
      </c>
      <c r="B1277" s="7" t="s">
        <v>184</v>
      </c>
      <c r="C1277" s="24" t="s">
        <v>47</v>
      </c>
      <c r="D1277" s="24" t="s">
        <v>48</v>
      </c>
      <c r="E1277" s="8">
        <v>46228</v>
      </c>
      <c r="F1277" s="8">
        <v>46234</v>
      </c>
      <c r="G1277" s="9">
        <f t="shared" si="234"/>
        <v>7</v>
      </c>
      <c r="H1277" s="10"/>
      <c r="I1277" s="10"/>
      <c r="J1277" s="10"/>
      <c r="K1277" s="11">
        <f t="shared" si="235"/>
        <v>0</v>
      </c>
      <c r="L1277" s="11">
        <f t="shared" si="236"/>
        <v>0</v>
      </c>
      <c r="M1277" s="12" t="str">
        <f t="shared" si="237"/>
        <v/>
      </c>
      <c r="N1277" s="11">
        <f t="shared" si="238"/>
        <v>0</v>
      </c>
      <c r="O1277" s="12" t="str">
        <f t="shared" si="239"/>
        <v/>
      </c>
      <c r="P1277" s="12" t="str">
        <f t="shared" si="240"/>
        <v/>
      </c>
      <c r="Q1277" s="13" t="str">
        <f t="shared" si="232"/>
        <v/>
      </c>
      <c r="R1277" s="13" t="str">
        <f t="shared" si="233"/>
        <v/>
      </c>
    </row>
    <row r="1278" spans="1:18" ht="15.75" customHeight="1" x14ac:dyDescent="0.3">
      <c r="A1278" s="7" t="s">
        <v>301</v>
      </c>
      <c r="B1278" s="7" t="s">
        <v>185</v>
      </c>
      <c r="C1278" s="24" t="s">
        <v>47</v>
      </c>
      <c r="D1278" s="24" t="s">
        <v>48</v>
      </c>
      <c r="E1278" s="8">
        <v>46228</v>
      </c>
      <c r="F1278" s="8">
        <v>46234</v>
      </c>
      <c r="G1278" s="9">
        <f t="shared" si="234"/>
        <v>7</v>
      </c>
      <c r="H1278" s="10"/>
      <c r="I1278" s="10"/>
      <c r="J1278" s="10"/>
      <c r="K1278" s="11">
        <f t="shared" si="235"/>
        <v>0</v>
      </c>
      <c r="L1278" s="11">
        <f t="shared" si="236"/>
        <v>0</v>
      </c>
      <c r="M1278" s="12" t="str">
        <f t="shared" si="237"/>
        <v/>
      </c>
      <c r="N1278" s="11">
        <f t="shared" si="238"/>
        <v>0</v>
      </c>
      <c r="O1278" s="12" t="str">
        <f t="shared" si="239"/>
        <v/>
      </c>
      <c r="P1278" s="12" t="str">
        <f t="shared" si="240"/>
        <v/>
      </c>
      <c r="Q1278" s="13" t="str">
        <f t="shared" si="232"/>
        <v/>
      </c>
      <c r="R1278" s="13" t="str">
        <f t="shared" si="233"/>
        <v/>
      </c>
    </row>
    <row r="1279" spans="1:18" ht="15.75" customHeight="1" x14ac:dyDescent="0.3">
      <c r="A1279" s="7" t="s">
        <v>301</v>
      </c>
      <c r="B1279" s="7" t="s">
        <v>285</v>
      </c>
      <c r="C1279" s="24" t="s">
        <v>47</v>
      </c>
      <c r="D1279" s="24" t="s">
        <v>48</v>
      </c>
      <c r="E1279" s="8">
        <v>46228</v>
      </c>
      <c r="F1279" s="8">
        <v>46234</v>
      </c>
      <c r="G1279" s="9">
        <f t="shared" si="234"/>
        <v>7</v>
      </c>
      <c r="H1279" s="10"/>
      <c r="I1279" s="10"/>
      <c r="J1279" s="10"/>
      <c r="K1279" s="11">
        <f t="shared" si="235"/>
        <v>0</v>
      </c>
      <c r="L1279" s="11">
        <f t="shared" si="236"/>
        <v>0</v>
      </c>
      <c r="M1279" s="12" t="str">
        <f t="shared" si="237"/>
        <v/>
      </c>
      <c r="N1279" s="11">
        <f t="shared" si="238"/>
        <v>0</v>
      </c>
      <c r="O1279" s="12" t="str">
        <f t="shared" si="239"/>
        <v/>
      </c>
      <c r="P1279" s="12" t="str">
        <f t="shared" si="240"/>
        <v/>
      </c>
      <c r="Q1279" s="13" t="str">
        <f t="shared" si="232"/>
        <v/>
      </c>
      <c r="R1279" s="13" t="str">
        <f t="shared" si="233"/>
        <v/>
      </c>
    </row>
    <row r="1280" spans="1:18" ht="15.75" customHeight="1" x14ac:dyDescent="0.3">
      <c r="A1280" s="7" t="s">
        <v>301</v>
      </c>
      <c r="B1280" s="7" t="s">
        <v>286</v>
      </c>
      <c r="C1280" s="24" t="s">
        <v>47</v>
      </c>
      <c r="D1280" s="24" t="s">
        <v>48</v>
      </c>
      <c r="E1280" s="8">
        <v>46228</v>
      </c>
      <c r="F1280" s="8">
        <v>46234</v>
      </c>
      <c r="G1280" s="9">
        <f t="shared" si="234"/>
        <v>7</v>
      </c>
      <c r="H1280" s="10"/>
      <c r="I1280" s="10"/>
      <c r="J1280" s="10"/>
      <c r="K1280" s="11">
        <f t="shared" si="235"/>
        <v>0</v>
      </c>
      <c r="L1280" s="11">
        <f t="shared" si="236"/>
        <v>0</v>
      </c>
      <c r="M1280" s="12" t="str">
        <f t="shared" si="237"/>
        <v/>
      </c>
      <c r="N1280" s="11">
        <f t="shared" si="238"/>
        <v>0</v>
      </c>
      <c r="O1280" s="12" t="str">
        <f t="shared" si="239"/>
        <v/>
      </c>
      <c r="P1280" s="12" t="str">
        <f t="shared" si="240"/>
        <v/>
      </c>
      <c r="Q1280" s="13" t="str">
        <f t="shared" si="232"/>
        <v/>
      </c>
      <c r="R1280" s="13" t="str">
        <f t="shared" si="233"/>
        <v/>
      </c>
    </row>
    <row r="1281" spans="1:18" ht="15.75" customHeight="1" x14ac:dyDescent="0.3">
      <c r="A1281" s="7" t="s">
        <v>301</v>
      </c>
      <c r="B1281" s="7" t="s">
        <v>145</v>
      </c>
      <c r="C1281" s="24" t="s">
        <v>47</v>
      </c>
      <c r="D1281" s="24" t="s">
        <v>53</v>
      </c>
      <c r="E1281" s="8">
        <v>46228</v>
      </c>
      <c r="F1281" s="8">
        <v>46234</v>
      </c>
      <c r="G1281" s="9">
        <f t="shared" si="234"/>
        <v>7</v>
      </c>
      <c r="H1281" s="10"/>
      <c r="I1281" s="10"/>
      <c r="J1281" s="10"/>
      <c r="K1281" s="11">
        <f t="shared" si="235"/>
        <v>0</v>
      </c>
      <c r="L1281" s="11">
        <f t="shared" si="236"/>
        <v>0</v>
      </c>
      <c r="M1281" s="12" t="str">
        <f t="shared" si="237"/>
        <v/>
      </c>
      <c r="N1281" s="11">
        <f t="shared" si="238"/>
        <v>0</v>
      </c>
      <c r="O1281" s="12" t="str">
        <f t="shared" si="239"/>
        <v/>
      </c>
      <c r="P1281" s="12" t="str">
        <f t="shared" si="240"/>
        <v/>
      </c>
      <c r="Q1281" s="13" t="str">
        <f t="shared" si="232"/>
        <v/>
      </c>
      <c r="R1281" s="13" t="str">
        <f t="shared" si="233"/>
        <v/>
      </c>
    </row>
    <row r="1282" spans="1:18" ht="15.75" customHeight="1" x14ac:dyDescent="0.3">
      <c r="A1282" s="7" t="s">
        <v>301</v>
      </c>
      <c r="B1282" s="7" t="s">
        <v>98</v>
      </c>
      <c r="C1282" s="24" t="s">
        <v>47</v>
      </c>
      <c r="D1282" s="24" t="s">
        <v>53</v>
      </c>
      <c r="E1282" s="8">
        <v>46228</v>
      </c>
      <c r="F1282" s="8">
        <v>46234</v>
      </c>
      <c r="G1282" s="9">
        <f t="shared" si="234"/>
        <v>7</v>
      </c>
      <c r="H1282" s="10"/>
      <c r="I1282" s="10"/>
      <c r="J1282" s="10"/>
      <c r="K1282" s="11">
        <f t="shared" si="235"/>
        <v>0</v>
      </c>
      <c r="L1282" s="11">
        <f t="shared" si="236"/>
        <v>0</v>
      </c>
      <c r="M1282" s="12" t="str">
        <f t="shared" si="237"/>
        <v/>
      </c>
      <c r="N1282" s="11">
        <f t="shared" si="238"/>
        <v>0</v>
      </c>
      <c r="O1282" s="12" t="str">
        <f t="shared" si="239"/>
        <v/>
      </c>
      <c r="P1282" s="12" t="str">
        <f t="shared" si="240"/>
        <v/>
      </c>
      <c r="Q1282" s="13" t="str">
        <f t="shared" si="232"/>
        <v/>
      </c>
      <c r="R1282" s="13" t="str">
        <f t="shared" si="233"/>
        <v/>
      </c>
    </row>
    <row r="1283" spans="1:18" ht="15.75" customHeight="1" x14ac:dyDescent="0.3">
      <c r="A1283" s="7" t="s">
        <v>301</v>
      </c>
      <c r="B1283" s="7" t="s">
        <v>279</v>
      </c>
      <c r="C1283" s="24" t="s">
        <v>47</v>
      </c>
      <c r="D1283" s="24" t="s">
        <v>433</v>
      </c>
      <c r="E1283" s="8">
        <v>46228</v>
      </c>
      <c r="F1283" s="8">
        <v>46234</v>
      </c>
      <c r="G1283" s="9">
        <f t="shared" si="234"/>
        <v>7</v>
      </c>
      <c r="H1283" s="10"/>
      <c r="I1283" s="10"/>
      <c r="J1283" s="10"/>
      <c r="K1283" s="11">
        <f t="shared" si="235"/>
        <v>0</v>
      </c>
      <c r="L1283" s="11">
        <f t="shared" si="236"/>
        <v>0</v>
      </c>
      <c r="M1283" s="12" t="str">
        <f t="shared" si="237"/>
        <v/>
      </c>
      <c r="N1283" s="11">
        <f t="shared" si="238"/>
        <v>0</v>
      </c>
      <c r="O1283" s="12" t="str">
        <f t="shared" si="239"/>
        <v/>
      </c>
      <c r="P1283" s="12" t="str">
        <f t="shared" si="240"/>
        <v/>
      </c>
      <c r="Q1283" s="13" t="str">
        <f t="shared" si="232"/>
        <v/>
      </c>
      <c r="R1283" s="13" t="str">
        <f t="shared" si="233"/>
        <v/>
      </c>
    </row>
    <row r="1284" spans="1:18" ht="15.75" customHeight="1" x14ac:dyDescent="0.3">
      <c r="A1284" s="7" t="s">
        <v>301</v>
      </c>
      <c r="B1284" s="7" t="s">
        <v>280</v>
      </c>
      <c r="C1284" s="24" t="s">
        <v>47</v>
      </c>
      <c r="D1284" s="24" t="s">
        <v>433</v>
      </c>
      <c r="E1284" s="8">
        <v>46228</v>
      </c>
      <c r="F1284" s="8">
        <v>46234</v>
      </c>
      <c r="G1284" s="9">
        <f t="shared" si="234"/>
        <v>7</v>
      </c>
      <c r="H1284" s="10"/>
      <c r="I1284" s="10"/>
      <c r="J1284" s="10"/>
      <c r="K1284" s="11">
        <f t="shared" si="235"/>
        <v>0</v>
      </c>
      <c r="L1284" s="11">
        <f t="shared" si="236"/>
        <v>0</v>
      </c>
      <c r="M1284" s="12" t="str">
        <f t="shared" si="237"/>
        <v/>
      </c>
      <c r="N1284" s="11">
        <f t="shared" si="238"/>
        <v>0</v>
      </c>
      <c r="O1284" s="12" t="str">
        <f t="shared" si="239"/>
        <v/>
      </c>
      <c r="P1284" s="12" t="str">
        <f t="shared" si="240"/>
        <v/>
      </c>
      <c r="Q1284" s="13" t="str">
        <f t="shared" si="232"/>
        <v/>
      </c>
      <c r="R1284" s="13" t="str">
        <f t="shared" si="233"/>
        <v/>
      </c>
    </row>
    <row r="1285" spans="1:18" ht="15.75" customHeight="1" x14ac:dyDescent="0.3">
      <c r="A1285" s="7" t="s">
        <v>301</v>
      </c>
      <c r="B1285" s="7" t="s">
        <v>216</v>
      </c>
      <c r="C1285" s="24" t="s">
        <v>47</v>
      </c>
      <c r="D1285" s="24" t="s">
        <v>53</v>
      </c>
      <c r="E1285" s="8">
        <v>46228</v>
      </c>
      <c r="F1285" s="8">
        <v>46234</v>
      </c>
      <c r="G1285" s="9">
        <f t="shared" si="234"/>
        <v>7</v>
      </c>
      <c r="H1285" s="10"/>
      <c r="I1285" s="10"/>
      <c r="J1285" s="10"/>
      <c r="K1285" s="11">
        <f t="shared" si="235"/>
        <v>0</v>
      </c>
      <c r="L1285" s="11">
        <f t="shared" si="236"/>
        <v>0</v>
      </c>
      <c r="M1285" s="12" t="str">
        <f t="shared" si="237"/>
        <v/>
      </c>
      <c r="N1285" s="11">
        <f t="shared" si="238"/>
        <v>0</v>
      </c>
      <c r="O1285" s="12" t="str">
        <f t="shared" si="239"/>
        <v/>
      </c>
      <c r="P1285" s="12" t="str">
        <f t="shared" si="240"/>
        <v/>
      </c>
      <c r="Q1285" s="13" t="str">
        <f t="shared" si="232"/>
        <v/>
      </c>
      <c r="R1285" s="13" t="str">
        <f t="shared" si="233"/>
        <v/>
      </c>
    </row>
    <row r="1286" spans="1:18" ht="15.75" customHeight="1" x14ac:dyDescent="0.3">
      <c r="A1286" s="7" t="s">
        <v>301</v>
      </c>
      <c r="B1286" s="7" t="s">
        <v>100</v>
      </c>
      <c r="C1286" s="24" t="s">
        <v>47</v>
      </c>
      <c r="D1286" s="24" t="s">
        <v>56</v>
      </c>
      <c r="E1286" s="8">
        <v>46228</v>
      </c>
      <c r="F1286" s="8">
        <v>46234</v>
      </c>
      <c r="G1286" s="9">
        <f t="shared" si="234"/>
        <v>7</v>
      </c>
      <c r="H1286" s="10"/>
      <c r="I1286" s="10"/>
      <c r="J1286" s="10"/>
      <c r="K1286" s="11">
        <f t="shared" si="235"/>
        <v>0</v>
      </c>
      <c r="L1286" s="11">
        <f t="shared" si="236"/>
        <v>0</v>
      </c>
      <c r="M1286" s="12" t="str">
        <f t="shared" si="237"/>
        <v/>
      </c>
      <c r="N1286" s="11">
        <f t="shared" si="238"/>
        <v>0</v>
      </c>
      <c r="O1286" s="12" t="str">
        <f t="shared" si="239"/>
        <v/>
      </c>
      <c r="P1286" s="12" t="str">
        <f t="shared" si="240"/>
        <v/>
      </c>
      <c r="Q1286" s="13" t="str">
        <f t="shared" si="232"/>
        <v/>
      </c>
      <c r="R1286" s="13" t="str">
        <f t="shared" si="233"/>
        <v/>
      </c>
    </row>
    <row r="1287" spans="1:18" ht="15.75" customHeight="1" x14ac:dyDescent="0.3">
      <c r="A1287" s="7" t="s">
        <v>301</v>
      </c>
      <c r="B1287" s="7" t="s">
        <v>99</v>
      </c>
      <c r="C1287" s="24" t="s">
        <v>47</v>
      </c>
      <c r="D1287" s="24" t="s">
        <v>56</v>
      </c>
      <c r="E1287" s="8">
        <v>46228</v>
      </c>
      <c r="F1287" s="8">
        <v>46234</v>
      </c>
      <c r="G1287" s="9">
        <f t="shared" si="234"/>
        <v>7</v>
      </c>
      <c r="H1287" s="10"/>
      <c r="I1287" s="10"/>
      <c r="J1287" s="10"/>
      <c r="K1287" s="11">
        <f t="shared" si="235"/>
        <v>0</v>
      </c>
      <c r="L1287" s="11">
        <f t="shared" si="236"/>
        <v>0</v>
      </c>
      <c r="M1287" s="12" t="str">
        <f t="shared" si="237"/>
        <v/>
      </c>
      <c r="N1287" s="11">
        <f t="shared" si="238"/>
        <v>0</v>
      </c>
      <c r="O1287" s="12" t="str">
        <f t="shared" si="239"/>
        <v/>
      </c>
      <c r="P1287" s="12" t="str">
        <f t="shared" si="240"/>
        <v/>
      </c>
      <c r="Q1287" s="13" t="str">
        <f t="shared" si="232"/>
        <v/>
      </c>
      <c r="R1287" s="13" t="str">
        <f t="shared" si="233"/>
        <v/>
      </c>
    </row>
    <row r="1288" spans="1:18" ht="15.75" customHeight="1" x14ac:dyDescent="0.3">
      <c r="A1288" s="7" t="s">
        <v>301</v>
      </c>
      <c r="B1288" s="7" t="s">
        <v>287</v>
      </c>
      <c r="C1288" s="24" t="s">
        <v>47</v>
      </c>
      <c r="D1288" s="24" t="s">
        <v>448</v>
      </c>
      <c r="E1288" s="8">
        <v>46228</v>
      </c>
      <c r="F1288" s="8">
        <v>46234</v>
      </c>
      <c r="G1288" s="9">
        <f t="shared" si="234"/>
        <v>7</v>
      </c>
      <c r="H1288" s="10"/>
      <c r="I1288" s="10"/>
      <c r="J1288" s="10"/>
      <c r="K1288" s="11">
        <f t="shared" si="235"/>
        <v>0</v>
      </c>
      <c r="L1288" s="11">
        <f t="shared" si="236"/>
        <v>0</v>
      </c>
      <c r="M1288" s="12" t="str">
        <f t="shared" si="237"/>
        <v/>
      </c>
      <c r="N1288" s="11">
        <f t="shared" si="238"/>
        <v>0</v>
      </c>
      <c r="O1288" s="12" t="str">
        <f t="shared" si="239"/>
        <v/>
      </c>
      <c r="P1288" s="12" t="str">
        <f t="shared" si="240"/>
        <v/>
      </c>
      <c r="Q1288" s="13" t="str">
        <f t="shared" si="232"/>
        <v/>
      </c>
      <c r="R1288" s="13" t="str">
        <f t="shared" si="233"/>
        <v/>
      </c>
    </row>
    <row r="1289" spans="1:18" ht="15.75" customHeight="1" x14ac:dyDescent="0.3">
      <c r="A1289" s="7" t="s">
        <v>301</v>
      </c>
      <c r="B1289" s="7" t="s">
        <v>176</v>
      </c>
      <c r="C1289" s="24" t="s">
        <v>58</v>
      </c>
      <c r="D1289" s="24" t="s">
        <v>61</v>
      </c>
      <c r="E1289" s="8">
        <v>46228</v>
      </c>
      <c r="F1289" s="8">
        <v>46234</v>
      </c>
      <c r="G1289" s="9">
        <f t="shared" si="234"/>
        <v>7</v>
      </c>
      <c r="H1289" s="10"/>
      <c r="I1289" s="10"/>
      <c r="J1289" s="10"/>
      <c r="K1289" s="11">
        <f t="shared" si="235"/>
        <v>0</v>
      </c>
      <c r="L1289" s="11">
        <f t="shared" si="236"/>
        <v>0</v>
      </c>
      <c r="M1289" s="12" t="str">
        <f t="shared" si="237"/>
        <v/>
      </c>
      <c r="N1289" s="11">
        <f t="shared" si="238"/>
        <v>0</v>
      </c>
      <c r="O1289" s="12" t="str">
        <f t="shared" si="239"/>
        <v/>
      </c>
      <c r="P1289" s="12" t="str">
        <f t="shared" si="240"/>
        <v/>
      </c>
      <c r="Q1289" s="13" t="str">
        <f t="shared" si="232"/>
        <v/>
      </c>
      <c r="R1289" s="13" t="str">
        <f t="shared" si="233"/>
        <v/>
      </c>
    </row>
    <row r="1290" spans="1:18" ht="15.75" customHeight="1" x14ac:dyDescent="0.3">
      <c r="A1290" s="7" t="s">
        <v>301</v>
      </c>
      <c r="B1290" s="7" t="s">
        <v>177</v>
      </c>
      <c r="C1290" s="24" t="s">
        <v>58</v>
      </c>
      <c r="D1290" s="24" t="s">
        <v>61</v>
      </c>
      <c r="E1290" s="8">
        <v>46228</v>
      </c>
      <c r="F1290" s="8">
        <v>46234</v>
      </c>
      <c r="G1290" s="9">
        <f t="shared" si="234"/>
        <v>7</v>
      </c>
      <c r="H1290" s="10"/>
      <c r="I1290" s="10"/>
      <c r="J1290" s="10"/>
      <c r="K1290" s="11">
        <f t="shared" si="235"/>
        <v>0</v>
      </c>
      <c r="L1290" s="11">
        <f t="shared" si="236"/>
        <v>0</v>
      </c>
      <c r="M1290" s="12" t="str">
        <f t="shared" si="237"/>
        <v/>
      </c>
      <c r="N1290" s="11">
        <f t="shared" si="238"/>
        <v>0</v>
      </c>
      <c r="O1290" s="12" t="str">
        <f t="shared" si="239"/>
        <v/>
      </c>
      <c r="P1290" s="12" t="str">
        <f t="shared" si="240"/>
        <v/>
      </c>
      <c r="Q1290" s="13" t="str">
        <f t="shared" si="232"/>
        <v/>
      </c>
      <c r="R1290" s="13" t="str">
        <f t="shared" si="233"/>
        <v/>
      </c>
    </row>
    <row r="1291" spans="1:18" ht="15.75" customHeight="1" x14ac:dyDescent="0.3">
      <c r="A1291" s="7" t="s">
        <v>301</v>
      </c>
      <c r="B1291" s="7" t="s">
        <v>60</v>
      </c>
      <c r="C1291" s="24" t="s">
        <v>58</v>
      </c>
      <c r="D1291" s="24" t="s">
        <v>61</v>
      </c>
      <c r="E1291" s="8">
        <v>46228</v>
      </c>
      <c r="F1291" s="8">
        <v>46234</v>
      </c>
      <c r="G1291" s="9">
        <f t="shared" si="234"/>
        <v>7</v>
      </c>
      <c r="H1291" s="10"/>
      <c r="I1291" s="10"/>
      <c r="J1291" s="10"/>
      <c r="K1291" s="11">
        <f t="shared" si="235"/>
        <v>0</v>
      </c>
      <c r="L1291" s="11">
        <f t="shared" si="236"/>
        <v>0</v>
      </c>
      <c r="M1291" s="12" t="str">
        <f t="shared" si="237"/>
        <v/>
      </c>
      <c r="N1291" s="11">
        <f t="shared" si="238"/>
        <v>0</v>
      </c>
      <c r="O1291" s="12" t="str">
        <f t="shared" si="239"/>
        <v/>
      </c>
      <c r="P1291" s="12" t="str">
        <f t="shared" si="240"/>
        <v/>
      </c>
      <c r="Q1291" s="13" t="str">
        <f t="shared" si="232"/>
        <v/>
      </c>
      <c r="R1291" s="13" t="str">
        <f t="shared" si="233"/>
        <v/>
      </c>
    </row>
    <row r="1292" spans="1:18" ht="15.75" customHeight="1" x14ac:dyDescent="0.3">
      <c r="A1292" s="7" t="s">
        <v>301</v>
      </c>
      <c r="B1292" s="7" t="s">
        <v>235</v>
      </c>
      <c r="C1292" s="24" t="s">
        <v>58</v>
      </c>
      <c r="D1292" s="24" t="s">
        <v>107</v>
      </c>
      <c r="E1292" s="8">
        <v>46228</v>
      </c>
      <c r="F1292" s="8">
        <v>46234</v>
      </c>
      <c r="G1292" s="9">
        <f t="shared" si="234"/>
        <v>7</v>
      </c>
      <c r="H1292" s="10"/>
      <c r="I1292" s="10"/>
      <c r="J1292" s="10"/>
      <c r="K1292" s="11">
        <f t="shared" si="235"/>
        <v>0</v>
      </c>
      <c r="L1292" s="11">
        <f t="shared" si="236"/>
        <v>0</v>
      </c>
      <c r="M1292" s="12" t="str">
        <f t="shared" si="237"/>
        <v/>
      </c>
      <c r="N1292" s="11">
        <f t="shared" si="238"/>
        <v>0</v>
      </c>
      <c r="O1292" s="12" t="str">
        <f t="shared" si="239"/>
        <v/>
      </c>
      <c r="P1292" s="12" t="str">
        <f t="shared" si="240"/>
        <v/>
      </c>
      <c r="Q1292" s="13" t="str">
        <f t="shared" si="232"/>
        <v/>
      </c>
      <c r="R1292" s="13" t="str">
        <f t="shared" si="233"/>
        <v/>
      </c>
    </row>
    <row r="1293" spans="1:18" ht="15.75" customHeight="1" x14ac:dyDescent="0.3">
      <c r="A1293" s="7" t="s">
        <v>301</v>
      </c>
      <c r="B1293" s="7" t="s">
        <v>194</v>
      </c>
      <c r="C1293" s="24" t="s">
        <v>58</v>
      </c>
      <c r="D1293" s="24" t="s">
        <v>103</v>
      </c>
      <c r="E1293" s="8">
        <v>46228</v>
      </c>
      <c r="F1293" s="8">
        <v>46234</v>
      </c>
      <c r="G1293" s="9">
        <f t="shared" si="234"/>
        <v>7</v>
      </c>
      <c r="H1293" s="10"/>
      <c r="I1293" s="10"/>
      <c r="J1293" s="10"/>
      <c r="K1293" s="11">
        <f t="shared" si="235"/>
        <v>0</v>
      </c>
      <c r="L1293" s="11">
        <f t="shared" si="236"/>
        <v>0</v>
      </c>
      <c r="M1293" s="12" t="str">
        <f t="shared" si="237"/>
        <v/>
      </c>
      <c r="N1293" s="11">
        <f t="shared" si="238"/>
        <v>0</v>
      </c>
      <c r="O1293" s="12" t="str">
        <f t="shared" si="239"/>
        <v/>
      </c>
      <c r="P1293" s="12" t="str">
        <f t="shared" si="240"/>
        <v/>
      </c>
      <c r="Q1293" s="13" t="str">
        <f t="shared" si="232"/>
        <v/>
      </c>
      <c r="R1293" s="13" t="str">
        <f t="shared" si="233"/>
        <v/>
      </c>
    </row>
    <row r="1294" spans="1:18" ht="15.75" customHeight="1" x14ac:dyDescent="0.3">
      <c r="A1294" s="7" t="s">
        <v>301</v>
      </c>
      <c r="B1294" s="7" t="s">
        <v>243</v>
      </c>
      <c r="C1294" s="24" t="s">
        <v>58</v>
      </c>
      <c r="D1294" s="24" t="s">
        <v>193</v>
      </c>
      <c r="E1294" s="8">
        <v>46228</v>
      </c>
      <c r="F1294" s="8">
        <v>46234</v>
      </c>
      <c r="G1294" s="9">
        <f t="shared" si="234"/>
        <v>7</v>
      </c>
      <c r="H1294" s="10"/>
      <c r="I1294" s="10"/>
      <c r="J1294" s="10"/>
      <c r="K1294" s="11">
        <f t="shared" si="235"/>
        <v>0</v>
      </c>
      <c r="L1294" s="11">
        <f t="shared" si="236"/>
        <v>0</v>
      </c>
      <c r="M1294" s="12" t="str">
        <f t="shared" si="237"/>
        <v/>
      </c>
      <c r="N1294" s="11">
        <f t="shared" si="238"/>
        <v>0</v>
      </c>
      <c r="O1294" s="12" t="str">
        <f t="shared" si="239"/>
        <v/>
      </c>
      <c r="P1294" s="12" t="str">
        <f t="shared" si="240"/>
        <v/>
      </c>
      <c r="Q1294" s="13" t="str">
        <f t="shared" si="232"/>
        <v/>
      </c>
      <c r="R1294" s="13" t="str">
        <f t="shared" si="233"/>
        <v/>
      </c>
    </row>
    <row r="1295" spans="1:18" ht="15.75" customHeight="1" x14ac:dyDescent="0.3">
      <c r="A1295" s="7" t="s">
        <v>301</v>
      </c>
      <c r="B1295" s="7" t="s">
        <v>104</v>
      </c>
      <c r="C1295" s="24" t="s">
        <v>58</v>
      </c>
      <c r="D1295" s="24" t="s">
        <v>61</v>
      </c>
      <c r="E1295" s="8">
        <v>46228</v>
      </c>
      <c r="F1295" s="8">
        <v>46234</v>
      </c>
      <c r="G1295" s="9">
        <f t="shared" si="234"/>
        <v>7</v>
      </c>
      <c r="H1295" s="10"/>
      <c r="I1295" s="10"/>
      <c r="J1295" s="10"/>
      <c r="K1295" s="11">
        <f t="shared" si="235"/>
        <v>0</v>
      </c>
      <c r="L1295" s="11">
        <f t="shared" si="236"/>
        <v>0</v>
      </c>
      <c r="M1295" s="12" t="str">
        <f t="shared" si="237"/>
        <v/>
      </c>
      <c r="N1295" s="11">
        <f t="shared" si="238"/>
        <v>0</v>
      </c>
      <c r="O1295" s="12" t="str">
        <f t="shared" si="239"/>
        <v/>
      </c>
      <c r="P1295" s="12" t="str">
        <f t="shared" si="240"/>
        <v/>
      </c>
      <c r="Q1295" s="13" t="str">
        <f t="shared" si="232"/>
        <v/>
      </c>
      <c r="R1295" s="13" t="str">
        <f t="shared" si="233"/>
        <v/>
      </c>
    </row>
    <row r="1296" spans="1:18" ht="15.75" customHeight="1" x14ac:dyDescent="0.3">
      <c r="A1296" s="7" t="s">
        <v>301</v>
      </c>
      <c r="B1296" s="7" t="s">
        <v>208</v>
      </c>
      <c r="C1296" s="24" t="s">
        <v>58</v>
      </c>
      <c r="D1296" s="24" t="s">
        <v>107</v>
      </c>
      <c r="E1296" s="8">
        <v>46228</v>
      </c>
      <c r="F1296" s="8">
        <v>46234</v>
      </c>
      <c r="G1296" s="9">
        <f t="shared" si="234"/>
        <v>7</v>
      </c>
      <c r="H1296" s="10"/>
      <c r="I1296" s="10"/>
      <c r="J1296" s="10"/>
      <c r="K1296" s="11">
        <f t="shared" si="235"/>
        <v>0</v>
      </c>
      <c r="L1296" s="11">
        <f t="shared" si="236"/>
        <v>0</v>
      </c>
      <c r="M1296" s="12" t="str">
        <f t="shared" si="237"/>
        <v/>
      </c>
      <c r="N1296" s="11">
        <f t="shared" si="238"/>
        <v>0</v>
      </c>
      <c r="O1296" s="12" t="str">
        <f t="shared" si="239"/>
        <v/>
      </c>
      <c r="P1296" s="12" t="str">
        <f t="shared" si="240"/>
        <v/>
      </c>
      <c r="Q1296" s="13" t="str">
        <f t="shared" si="232"/>
        <v/>
      </c>
      <c r="R1296" s="13" t="str">
        <f t="shared" si="233"/>
        <v/>
      </c>
    </row>
    <row r="1297" spans="1:18" ht="15.75" customHeight="1" x14ac:dyDescent="0.3">
      <c r="A1297" s="7" t="s">
        <v>301</v>
      </c>
      <c r="B1297" s="7" t="s">
        <v>108</v>
      </c>
      <c r="C1297" s="24" t="s">
        <v>58</v>
      </c>
      <c r="D1297" s="24" t="s">
        <v>66</v>
      </c>
      <c r="E1297" s="8">
        <v>46228</v>
      </c>
      <c r="F1297" s="8">
        <v>46234</v>
      </c>
      <c r="G1297" s="9">
        <f t="shared" si="234"/>
        <v>7</v>
      </c>
      <c r="H1297" s="10"/>
      <c r="I1297" s="10"/>
      <c r="J1297" s="10"/>
      <c r="K1297" s="11">
        <f t="shared" si="235"/>
        <v>0</v>
      </c>
      <c r="L1297" s="11">
        <f t="shared" si="236"/>
        <v>0</v>
      </c>
      <c r="M1297" s="12" t="str">
        <f t="shared" si="237"/>
        <v/>
      </c>
      <c r="N1297" s="11">
        <f t="shared" si="238"/>
        <v>0</v>
      </c>
      <c r="O1297" s="12" t="str">
        <f t="shared" si="239"/>
        <v/>
      </c>
      <c r="P1297" s="12" t="str">
        <f t="shared" si="240"/>
        <v/>
      </c>
      <c r="Q1297" s="13" t="str">
        <f t="shared" si="232"/>
        <v/>
      </c>
      <c r="R1297" s="13" t="str">
        <f t="shared" si="233"/>
        <v/>
      </c>
    </row>
    <row r="1298" spans="1:18" ht="15.75" customHeight="1" x14ac:dyDescent="0.3">
      <c r="A1298" s="7" t="s">
        <v>301</v>
      </c>
      <c r="B1298" s="7" t="s">
        <v>109</v>
      </c>
      <c r="C1298" s="24" t="s">
        <v>58</v>
      </c>
      <c r="D1298" s="24" t="s">
        <v>68</v>
      </c>
      <c r="E1298" s="8">
        <v>46228</v>
      </c>
      <c r="F1298" s="8">
        <v>46234</v>
      </c>
      <c r="G1298" s="9">
        <f t="shared" si="234"/>
        <v>7</v>
      </c>
      <c r="H1298" s="10"/>
      <c r="I1298" s="10"/>
      <c r="J1298" s="10"/>
      <c r="K1298" s="11">
        <f t="shared" si="235"/>
        <v>0</v>
      </c>
      <c r="L1298" s="11">
        <f t="shared" si="236"/>
        <v>0</v>
      </c>
      <c r="M1298" s="12" t="str">
        <f t="shared" si="237"/>
        <v/>
      </c>
      <c r="N1298" s="11">
        <f t="shared" si="238"/>
        <v>0</v>
      </c>
      <c r="O1298" s="12" t="str">
        <f t="shared" si="239"/>
        <v/>
      </c>
      <c r="P1298" s="12" t="str">
        <f t="shared" si="240"/>
        <v/>
      </c>
      <c r="Q1298" s="13" t="str">
        <f t="shared" si="232"/>
        <v/>
      </c>
      <c r="R1298" s="13" t="str">
        <f t="shared" si="233"/>
        <v/>
      </c>
    </row>
    <row r="1299" spans="1:18" ht="15.75" customHeight="1" x14ac:dyDescent="0.3">
      <c r="A1299" s="7" t="s">
        <v>301</v>
      </c>
      <c r="B1299" s="7" t="s">
        <v>71</v>
      </c>
      <c r="C1299" s="24" t="s">
        <v>58</v>
      </c>
      <c r="D1299" s="24" t="s">
        <v>66</v>
      </c>
      <c r="E1299" s="8">
        <v>46228</v>
      </c>
      <c r="F1299" s="8">
        <v>46234</v>
      </c>
      <c r="G1299" s="9">
        <f t="shared" si="234"/>
        <v>7</v>
      </c>
      <c r="H1299" s="10"/>
      <c r="I1299" s="10"/>
      <c r="J1299" s="10"/>
      <c r="K1299" s="11">
        <f t="shared" si="235"/>
        <v>0</v>
      </c>
      <c r="L1299" s="11">
        <f t="shared" si="236"/>
        <v>0</v>
      </c>
      <c r="M1299" s="12" t="str">
        <f t="shared" si="237"/>
        <v/>
      </c>
      <c r="N1299" s="11">
        <f t="shared" si="238"/>
        <v>0</v>
      </c>
      <c r="O1299" s="12" t="str">
        <f t="shared" si="239"/>
        <v/>
      </c>
      <c r="P1299" s="12" t="str">
        <f t="shared" si="240"/>
        <v/>
      </c>
      <c r="Q1299" s="13" t="str">
        <f t="shared" si="232"/>
        <v/>
      </c>
      <c r="R1299" s="13" t="str">
        <f t="shared" si="233"/>
        <v/>
      </c>
    </row>
    <row r="1300" spans="1:18" ht="15.75" customHeight="1" x14ac:dyDescent="0.3">
      <c r="A1300" s="7" t="s">
        <v>301</v>
      </c>
      <c r="B1300" s="7" t="s">
        <v>72</v>
      </c>
      <c r="C1300" s="24" t="s">
        <v>58</v>
      </c>
      <c r="D1300" s="24" t="s">
        <v>68</v>
      </c>
      <c r="E1300" s="8">
        <v>46228</v>
      </c>
      <c r="F1300" s="8">
        <v>46234</v>
      </c>
      <c r="G1300" s="9">
        <f t="shared" si="234"/>
        <v>7</v>
      </c>
      <c r="H1300" s="10"/>
      <c r="I1300" s="10"/>
      <c r="J1300" s="10"/>
      <c r="K1300" s="11">
        <f t="shared" si="235"/>
        <v>0</v>
      </c>
      <c r="L1300" s="11">
        <f t="shared" si="236"/>
        <v>0</v>
      </c>
      <c r="M1300" s="12" t="str">
        <f t="shared" si="237"/>
        <v/>
      </c>
      <c r="N1300" s="11">
        <f t="shared" si="238"/>
        <v>0</v>
      </c>
      <c r="O1300" s="12" t="str">
        <f t="shared" si="239"/>
        <v/>
      </c>
      <c r="P1300" s="12" t="str">
        <f t="shared" si="240"/>
        <v/>
      </c>
      <c r="Q1300" s="13" t="str">
        <f t="shared" si="232"/>
        <v/>
      </c>
      <c r="R1300" s="13" t="str">
        <f t="shared" si="233"/>
        <v/>
      </c>
    </row>
    <row r="1301" spans="1:18" ht="15.75" customHeight="1" x14ac:dyDescent="0.3">
      <c r="A1301" s="7" t="s">
        <v>301</v>
      </c>
      <c r="B1301" s="7" t="s">
        <v>198</v>
      </c>
      <c r="C1301" s="24" t="s">
        <v>58</v>
      </c>
      <c r="D1301" s="24" t="s">
        <v>66</v>
      </c>
      <c r="E1301" s="8">
        <v>46228</v>
      </c>
      <c r="F1301" s="8">
        <v>46234</v>
      </c>
      <c r="G1301" s="9">
        <f t="shared" si="234"/>
        <v>7</v>
      </c>
      <c r="H1301" s="10"/>
      <c r="I1301" s="10"/>
      <c r="J1301" s="10"/>
      <c r="K1301" s="11">
        <f t="shared" si="235"/>
        <v>0</v>
      </c>
      <c r="L1301" s="11">
        <f t="shared" si="236"/>
        <v>0</v>
      </c>
      <c r="M1301" s="12" t="str">
        <f t="shared" si="237"/>
        <v/>
      </c>
      <c r="N1301" s="11">
        <f t="shared" si="238"/>
        <v>0</v>
      </c>
      <c r="O1301" s="12" t="str">
        <f t="shared" si="239"/>
        <v/>
      </c>
      <c r="P1301" s="12" t="str">
        <f t="shared" si="240"/>
        <v/>
      </c>
      <c r="Q1301" s="13" t="str">
        <f t="shared" si="232"/>
        <v/>
      </c>
      <c r="R1301" s="13" t="str">
        <f t="shared" si="233"/>
        <v/>
      </c>
    </row>
    <row r="1302" spans="1:18" ht="15.75" customHeight="1" x14ac:dyDescent="0.3">
      <c r="A1302" s="7" t="s">
        <v>301</v>
      </c>
      <c r="B1302" s="7" t="s">
        <v>199</v>
      </c>
      <c r="C1302" s="24" t="s">
        <v>58</v>
      </c>
      <c r="D1302" s="24" t="s">
        <v>68</v>
      </c>
      <c r="E1302" s="8">
        <v>46228</v>
      </c>
      <c r="F1302" s="8">
        <v>46234</v>
      </c>
      <c r="G1302" s="9">
        <f t="shared" si="234"/>
        <v>7</v>
      </c>
      <c r="H1302" s="10"/>
      <c r="I1302" s="10"/>
      <c r="J1302" s="10"/>
      <c r="K1302" s="11">
        <f t="shared" si="235"/>
        <v>0</v>
      </c>
      <c r="L1302" s="11">
        <f t="shared" si="236"/>
        <v>0</v>
      </c>
      <c r="M1302" s="12" t="str">
        <f t="shared" si="237"/>
        <v/>
      </c>
      <c r="N1302" s="11">
        <f t="shared" si="238"/>
        <v>0</v>
      </c>
      <c r="O1302" s="12" t="str">
        <f t="shared" si="239"/>
        <v/>
      </c>
      <c r="P1302" s="12" t="str">
        <f t="shared" si="240"/>
        <v/>
      </c>
      <c r="Q1302" s="13" t="str">
        <f t="shared" si="232"/>
        <v/>
      </c>
      <c r="R1302" s="13" t="str">
        <f t="shared" si="233"/>
        <v/>
      </c>
    </row>
    <row r="1303" spans="1:18" ht="15.75" customHeight="1" x14ac:dyDescent="0.3">
      <c r="A1303" s="7" t="s">
        <v>301</v>
      </c>
      <c r="B1303" s="7" t="s">
        <v>114</v>
      </c>
      <c r="C1303" s="24" t="s">
        <v>58</v>
      </c>
      <c r="D1303" s="24" t="s">
        <v>74</v>
      </c>
      <c r="E1303" s="8">
        <v>46228</v>
      </c>
      <c r="F1303" s="8">
        <v>46234</v>
      </c>
      <c r="G1303" s="9">
        <f t="shared" si="234"/>
        <v>7</v>
      </c>
      <c r="H1303" s="10"/>
      <c r="I1303" s="10"/>
      <c r="J1303" s="10"/>
      <c r="K1303" s="11">
        <f t="shared" si="235"/>
        <v>0</v>
      </c>
      <c r="L1303" s="11">
        <f t="shared" si="236"/>
        <v>0</v>
      </c>
      <c r="M1303" s="12" t="str">
        <f t="shared" si="237"/>
        <v/>
      </c>
      <c r="N1303" s="11">
        <f t="shared" si="238"/>
        <v>0</v>
      </c>
      <c r="O1303" s="12" t="str">
        <f t="shared" si="239"/>
        <v/>
      </c>
      <c r="P1303" s="12" t="str">
        <f t="shared" si="240"/>
        <v/>
      </c>
      <c r="Q1303" s="13" t="str">
        <f t="shared" si="232"/>
        <v/>
      </c>
      <c r="R1303" s="13" t="str">
        <f t="shared" si="233"/>
        <v/>
      </c>
    </row>
    <row r="1304" spans="1:18" ht="15.75" customHeight="1" x14ac:dyDescent="0.3">
      <c r="A1304" s="7" t="s">
        <v>301</v>
      </c>
      <c r="B1304" s="7" t="s">
        <v>115</v>
      </c>
      <c r="C1304" s="24" t="s">
        <v>58</v>
      </c>
      <c r="D1304" s="24" t="s">
        <v>74</v>
      </c>
      <c r="E1304" s="8">
        <v>46228</v>
      </c>
      <c r="F1304" s="8">
        <v>46234</v>
      </c>
      <c r="G1304" s="9">
        <f t="shared" si="234"/>
        <v>7</v>
      </c>
      <c r="H1304" s="10"/>
      <c r="I1304" s="10"/>
      <c r="J1304" s="10"/>
      <c r="K1304" s="11">
        <f t="shared" si="235"/>
        <v>0</v>
      </c>
      <c r="L1304" s="11">
        <f t="shared" si="236"/>
        <v>0</v>
      </c>
      <c r="M1304" s="12" t="str">
        <f t="shared" si="237"/>
        <v/>
      </c>
      <c r="N1304" s="11">
        <f t="shared" si="238"/>
        <v>0</v>
      </c>
      <c r="O1304" s="12" t="str">
        <f t="shared" si="239"/>
        <v/>
      </c>
      <c r="P1304" s="12" t="str">
        <f t="shared" si="240"/>
        <v/>
      </c>
      <c r="Q1304" s="13" t="str">
        <f t="shared" si="232"/>
        <v/>
      </c>
      <c r="R1304" s="13" t="str">
        <f t="shared" si="233"/>
        <v/>
      </c>
    </row>
    <row r="1305" spans="1:18" ht="15.75" customHeight="1" x14ac:dyDescent="0.3">
      <c r="A1305" s="7" t="s">
        <v>301</v>
      </c>
      <c r="B1305" s="7" t="s">
        <v>133</v>
      </c>
      <c r="C1305" s="24" t="s">
        <v>58</v>
      </c>
      <c r="D1305" s="24" t="s">
        <v>74</v>
      </c>
      <c r="E1305" s="8">
        <v>46228</v>
      </c>
      <c r="F1305" s="8">
        <v>46234</v>
      </c>
      <c r="G1305" s="9">
        <f t="shared" si="234"/>
        <v>7</v>
      </c>
      <c r="H1305" s="10"/>
      <c r="I1305" s="10"/>
      <c r="J1305" s="10"/>
      <c r="K1305" s="11">
        <f t="shared" si="235"/>
        <v>0</v>
      </c>
      <c r="L1305" s="11">
        <f t="shared" si="236"/>
        <v>0</v>
      </c>
      <c r="M1305" s="12" t="str">
        <f t="shared" si="237"/>
        <v/>
      </c>
      <c r="N1305" s="11">
        <f t="shared" si="238"/>
        <v>0</v>
      </c>
      <c r="O1305" s="12" t="str">
        <f t="shared" si="239"/>
        <v/>
      </c>
      <c r="P1305" s="12" t="str">
        <f t="shared" si="240"/>
        <v/>
      </c>
      <c r="Q1305" s="13" t="str">
        <f t="shared" si="232"/>
        <v/>
      </c>
      <c r="R1305" s="13" t="str">
        <f t="shared" si="233"/>
        <v/>
      </c>
    </row>
    <row r="1306" spans="1:18" ht="15.75" customHeight="1" x14ac:dyDescent="0.3">
      <c r="A1306" s="7" t="s">
        <v>301</v>
      </c>
      <c r="B1306" s="7" t="s">
        <v>210</v>
      </c>
      <c r="C1306" s="24" t="s">
        <v>58</v>
      </c>
      <c r="D1306" s="24" t="s">
        <v>59</v>
      </c>
      <c r="E1306" s="8">
        <v>46228</v>
      </c>
      <c r="F1306" s="8">
        <v>46234</v>
      </c>
      <c r="G1306" s="9">
        <f t="shared" si="234"/>
        <v>7</v>
      </c>
      <c r="H1306" s="10"/>
      <c r="I1306" s="10"/>
      <c r="J1306" s="10"/>
      <c r="K1306" s="11">
        <f t="shared" si="235"/>
        <v>0</v>
      </c>
      <c r="L1306" s="11">
        <f t="shared" si="236"/>
        <v>0</v>
      </c>
      <c r="M1306" s="12" t="str">
        <f t="shared" si="237"/>
        <v/>
      </c>
      <c r="N1306" s="11">
        <f t="shared" si="238"/>
        <v>0</v>
      </c>
      <c r="O1306" s="12" t="str">
        <f t="shared" si="239"/>
        <v/>
      </c>
      <c r="P1306" s="12" t="str">
        <f t="shared" si="240"/>
        <v/>
      </c>
      <c r="Q1306" s="13" t="str">
        <f t="shared" si="232"/>
        <v/>
      </c>
      <c r="R1306" s="13" t="str">
        <f t="shared" si="233"/>
        <v/>
      </c>
    </row>
    <row r="1307" spans="1:18" ht="15.75" customHeight="1" x14ac:dyDescent="0.3">
      <c r="A1307" s="7" t="s">
        <v>301</v>
      </c>
      <c r="B1307" s="7" t="s">
        <v>270</v>
      </c>
      <c r="C1307" s="24" t="s">
        <v>47</v>
      </c>
      <c r="D1307" s="24" t="s">
        <v>48</v>
      </c>
      <c r="E1307" s="8">
        <v>46228</v>
      </c>
      <c r="F1307" s="8">
        <v>46234</v>
      </c>
      <c r="G1307" s="9">
        <f t="shared" si="234"/>
        <v>7</v>
      </c>
      <c r="H1307" s="10"/>
      <c r="I1307" s="10"/>
      <c r="J1307" s="10"/>
      <c r="K1307" s="11">
        <f t="shared" si="235"/>
        <v>0</v>
      </c>
      <c r="L1307" s="11">
        <f t="shared" si="236"/>
        <v>0</v>
      </c>
      <c r="M1307" s="12" t="str">
        <f t="shared" si="237"/>
        <v/>
      </c>
      <c r="N1307" s="11">
        <f t="shared" si="238"/>
        <v>0</v>
      </c>
      <c r="O1307" s="12" t="str">
        <f t="shared" si="239"/>
        <v/>
      </c>
      <c r="P1307" s="12" t="str">
        <f t="shared" si="240"/>
        <v/>
      </c>
      <c r="Q1307" s="13" t="str">
        <f t="shared" si="232"/>
        <v/>
      </c>
      <c r="R1307" s="13" t="str">
        <f t="shared" si="233"/>
        <v/>
      </c>
    </row>
    <row r="1308" spans="1:18" ht="15.75" customHeight="1" x14ac:dyDescent="0.3">
      <c r="A1308" s="7" t="s">
        <v>301</v>
      </c>
      <c r="B1308" s="7" t="s">
        <v>271</v>
      </c>
      <c r="C1308" s="24" t="s">
        <v>47</v>
      </c>
      <c r="D1308" s="24" t="s">
        <v>48</v>
      </c>
      <c r="E1308" s="8">
        <v>46228</v>
      </c>
      <c r="F1308" s="8">
        <v>46234</v>
      </c>
      <c r="G1308" s="9">
        <f t="shared" si="234"/>
        <v>7</v>
      </c>
      <c r="H1308" s="10"/>
      <c r="I1308" s="10"/>
      <c r="J1308" s="10"/>
      <c r="K1308" s="11">
        <f t="shared" si="235"/>
        <v>0</v>
      </c>
      <c r="L1308" s="11">
        <f t="shared" si="236"/>
        <v>0</v>
      </c>
      <c r="M1308" s="12" t="str">
        <f t="shared" si="237"/>
        <v/>
      </c>
      <c r="N1308" s="11">
        <f t="shared" si="238"/>
        <v>0</v>
      </c>
      <c r="O1308" s="12" t="str">
        <f t="shared" si="239"/>
        <v/>
      </c>
      <c r="P1308" s="12" t="str">
        <f t="shared" si="240"/>
        <v/>
      </c>
      <c r="Q1308" s="13" t="str">
        <f t="shared" si="232"/>
        <v/>
      </c>
      <c r="R1308" s="13" t="str">
        <f t="shared" si="233"/>
        <v/>
      </c>
    </row>
    <row r="1309" spans="1:18" ht="15.75" customHeight="1" x14ac:dyDescent="0.3">
      <c r="A1309" s="7"/>
      <c r="B1309" s="7"/>
      <c r="C1309" s="24"/>
      <c r="D1309" s="24"/>
      <c r="E1309" s="8"/>
      <c r="F1309" s="8"/>
      <c r="G1309" s="9"/>
      <c r="H1309" s="10"/>
      <c r="I1309" s="10"/>
      <c r="J1309" s="10"/>
      <c r="K1309" s="11"/>
      <c r="L1309" s="11"/>
      <c r="M1309" s="12"/>
      <c r="N1309" s="11"/>
      <c r="O1309" s="12"/>
      <c r="P1309" s="12"/>
    </row>
    <row r="1310" spans="1:18" ht="15.75" customHeight="1" x14ac:dyDescent="0.3">
      <c r="A1310" s="7"/>
      <c r="B1310" s="7"/>
      <c r="C1310" s="24"/>
      <c r="D1310" s="24"/>
      <c r="E1310" s="8"/>
      <c r="F1310" s="8"/>
      <c r="G1310" s="9"/>
      <c r="H1310" s="10"/>
      <c r="I1310" s="10"/>
      <c r="J1310" s="10"/>
      <c r="K1310" s="11"/>
      <c r="L1310" s="11"/>
      <c r="M1310" s="12"/>
      <c r="N1310" s="11"/>
      <c r="O1310" s="12"/>
      <c r="P1310" s="12"/>
    </row>
    <row r="1311" spans="1:18" ht="15.75" customHeight="1" x14ac:dyDescent="0.3">
      <c r="A1311" s="7"/>
      <c r="B1311" s="7"/>
      <c r="C1311" s="24"/>
      <c r="D1311" s="24"/>
      <c r="E1311" s="8"/>
      <c r="F1311" s="8"/>
      <c r="G1311" s="9"/>
      <c r="H1311" s="10"/>
      <c r="I1311" s="10"/>
      <c r="J1311" s="10"/>
      <c r="K1311" s="11"/>
      <c r="L1311" s="11"/>
      <c r="M1311" s="12"/>
      <c r="N1311" s="11"/>
      <c r="O1311" s="12"/>
      <c r="P1311" s="12"/>
    </row>
    <row r="1312" spans="1:18" ht="15.75" customHeight="1" x14ac:dyDescent="0.3">
      <c r="A1312" s="7"/>
      <c r="B1312" s="7"/>
      <c r="C1312" s="24"/>
      <c r="D1312" s="24"/>
      <c r="E1312" s="8"/>
      <c r="F1312" s="8"/>
      <c r="G1312" s="9"/>
      <c r="H1312" s="10"/>
      <c r="I1312" s="10"/>
      <c r="J1312" s="10"/>
      <c r="K1312" s="11"/>
      <c r="L1312" s="11"/>
      <c r="M1312" s="12"/>
      <c r="N1312" s="11"/>
      <c r="O1312" s="12"/>
      <c r="P1312" s="12"/>
    </row>
    <row r="1313" spans="1:16" ht="15" customHeight="1" x14ac:dyDescent="0.3">
      <c r="A1313" s="7"/>
      <c r="B1313" s="7"/>
      <c r="C1313" s="24"/>
      <c r="D1313" s="24"/>
      <c r="E1313" s="8"/>
      <c r="F1313" s="8"/>
      <c r="G1313" s="9"/>
      <c r="H1313" s="10"/>
      <c r="I1313" s="10"/>
      <c r="J1313" s="10"/>
      <c r="K1313" s="11"/>
      <c r="L1313" s="11"/>
      <c r="M1313" s="12"/>
      <c r="N1313" s="11"/>
      <c r="O1313" s="12"/>
      <c r="P1313" s="12"/>
    </row>
  </sheetData>
  <autoFilter ref="A2:P1308" xr:uid="{00000000-0009-0000-0000-000001000000}"/>
  <mergeCells count="2">
    <mergeCell ref="A1:J1"/>
    <mergeCell ref="K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8"/>
  <sheetViews>
    <sheetView showGridLines="0" zoomScaleNormal="100" workbookViewId="0">
      <pane xSplit="1" ySplit="2" topLeftCell="BU3" activePane="bottomRight" state="frozen"/>
      <selection pane="topRight" activeCell="BP1" sqref="BP1"/>
      <selection pane="bottomLeft" activeCell="A3" sqref="A3"/>
      <selection pane="bottomRight" activeCell="CF12" sqref="CF12"/>
    </sheetView>
  </sheetViews>
  <sheetFormatPr defaultColWidth="8.6640625" defaultRowHeight="14.4" x14ac:dyDescent="0.3"/>
  <cols>
    <col min="1" max="1" width="24" customWidth="1"/>
    <col min="2" max="2" width="11" customWidth="1"/>
    <col min="3" max="3" width="9" customWidth="1"/>
    <col min="4" max="4" width="28" customWidth="1"/>
    <col min="5" max="5" width="16" customWidth="1"/>
    <col min="6" max="6" width="11" customWidth="1"/>
    <col min="7" max="7" width="9" customWidth="1"/>
    <col min="8" max="8" width="28" customWidth="1"/>
    <col min="9" max="9" width="16" customWidth="1"/>
    <col min="10" max="10" width="11" customWidth="1"/>
    <col min="11" max="11" width="9" customWidth="1"/>
    <col min="12" max="12" width="28" customWidth="1"/>
    <col min="13" max="13" width="16" customWidth="1"/>
    <col min="14" max="14" width="11" customWidth="1"/>
    <col min="15" max="15" width="9" customWidth="1"/>
    <col min="16" max="16" width="28" customWidth="1"/>
    <col min="17" max="17" width="16" customWidth="1"/>
    <col min="18" max="18" width="11" customWidth="1"/>
    <col min="19" max="19" width="9" customWidth="1"/>
    <col min="20" max="20" width="28" customWidth="1"/>
    <col min="21" max="21" width="16" customWidth="1"/>
    <col min="22" max="22" width="11" customWidth="1"/>
    <col min="23" max="23" width="9" customWidth="1"/>
    <col min="24" max="24" width="28" customWidth="1"/>
    <col min="25" max="25" width="16" customWidth="1"/>
    <col min="26" max="26" width="11" customWidth="1"/>
    <col min="27" max="27" width="9" customWidth="1"/>
    <col min="28" max="28" width="28" customWidth="1"/>
    <col min="29" max="29" width="16" customWidth="1"/>
    <col min="30" max="30" width="11" customWidth="1"/>
    <col min="31" max="31" width="9" customWidth="1"/>
    <col min="32" max="32" width="28" customWidth="1"/>
    <col min="33" max="33" width="16" customWidth="1"/>
    <col min="34" max="34" width="11" customWidth="1"/>
    <col min="35" max="35" width="9" customWidth="1"/>
    <col min="36" max="36" width="28" customWidth="1"/>
    <col min="37" max="37" width="16" customWidth="1"/>
    <col min="40" max="40" width="28" customWidth="1"/>
    <col min="41" max="41" width="16" customWidth="1"/>
    <col min="44" max="44" width="28" customWidth="1"/>
    <col min="45" max="45" width="16" customWidth="1"/>
    <col min="48" max="48" width="28" customWidth="1"/>
    <col min="49" max="49" width="16" customWidth="1"/>
    <col min="52" max="52" width="28" customWidth="1"/>
    <col min="53" max="53" width="16" customWidth="1"/>
    <col min="56" max="56" width="28" customWidth="1"/>
    <col min="57" max="57" width="16" customWidth="1"/>
    <col min="60" max="60" width="28" customWidth="1"/>
    <col min="61" max="61" width="16" customWidth="1"/>
    <col min="64" max="64" width="28" customWidth="1"/>
    <col min="65" max="65" width="16" customWidth="1"/>
    <col min="68" max="68" width="28" customWidth="1"/>
    <col min="69" max="69" width="16" customWidth="1"/>
    <col min="72" max="72" width="28" customWidth="1"/>
    <col min="73" max="73" width="16" customWidth="1"/>
    <col min="76" max="76" width="16.44140625" customWidth="1"/>
    <col min="77" max="77" width="15.6640625" customWidth="1"/>
    <col min="80" max="80" width="16.44140625" customWidth="1"/>
    <col min="81" max="81" width="15.6640625" customWidth="1"/>
    <col min="84" max="84" width="16.44140625" customWidth="1"/>
    <col min="85" max="85" width="15.6640625" customWidth="1"/>
    <col min="88" max="88" width="18.33203125" customWidth="1"/>
    <col min="89" max="89" width="16.77734375" customWidth="1"/>
    <col min="92" max="92" width="18.33203125" customWidth="1"/>
    <col min="93" max="93" width="16.77734375" customWidth="1"/>
    <col min="96" max="96" width="18.33203125" customWidth="1"/>
    <col min="97" max="97" width="16.77734375" customWidth="1"/>
    <col min="100" max="100" width="18.33203125" customWidth="1"/>
    <col min="101" max="101" width="16.77734375" customWidth="1"/>
    <col min="104" max="104" width="18.33203125" customWidth="1"/>
    <col min="105" max="105" width="16.77734375" customWidth="1"/>
  </cols>
  <sheetData>
    <row r="1" spans="1:105" ht="39.75" customHeight="1" x14ac:dyDescent="0.3">
      <c r="A1" s="14" t="s">
        <v>302</v>
      </c>
      <c r="B1" s="30" t="s">
        <v>303</v>
      </c>
      <c r="C1" s="30"/>
      <c r="D1" s="30"/>
      <c r="E1" s="30"/>
      <c r="F1" s="30" t="s">
        <v>304</v>
      </c>
      <c r="G1" s="30"/>
      <c r="H1" s="30"/>
      <c r="I1" s="30"/>
      <c r="J1" s="30" t="s">
        <v>305</v>
      </c>
      <c r="K1" s="30"/>
      <c r="L1" s="30"/>
      <c r="M1" s="30"/>
      <c r="N1" s="30" t="s">
        <v>306</v>
      </c>
      <c r="O1" s="30"/>
      <c r="P1" s="30"/>
      <c r="Q1" s="30"/>
      <c r="R1" s="30" t="s">
        <v>307</v>
      </c>
      <c r="S1" s="30"/>
      <c r="T1" s="30"/>
      <c r="U1" s="30"/>
      <c r="V1" s="30" t="s">
        <v>308</v>
      </c>
      <c r="W1" s="30"/>
      <c r="X1" s="30"/>
      <c r="Y1" s="30"/>
      <c r="Z1" s="30" t="s">
        <v>309</v>
      </c>
      <c r="AA1" s="30"/>
      <c r="AB1" s="30"/>
      <c r="AC1" s="30"/>
      <c r="AD1" s="30" t="s">
        <v>310</v>
      </c>
      <c r="AE1" s="30"/>
      <c r="AF1" s="30"/>
      <c r="AG1" s="30"/>
      <c r="AH1" s="30" t="s">
        <v>311</v>
      </c>
      <c r="AI1" s="30"/>
      <c r="AJ1" s="30"/>
      <c r="AK1" s="30"/>
      <c r="AL1" s="30" t="s">
        <v>312</v>
      </c>
      <c r="AM1" s="30"/>
      <c r="AN1" s="30"/>
      <c r="AO1" s="30"/>
      <c r="AP1" s="30" t="s">
        <v>313</v>
      </c>
      <c r="AQ1" s="30"/>
      <c r="AR1" s="30"/>
      <c r="AS1" s="30"/>
      <c r="AT1" s="30" t="s">
        <v>314</v>
      </c>
      <c r="AU1" s="30"/>
      <c r="AV1" s="30"/>
      <c r="AW1" s="30"/>
      <c r="AX1" s="30" t="s">
        <v>315</v>
      </c>
      <c r="AY1" s="30"/>
      <c r="AZ1" s="30"/>
      <c r="BA1" s="30"/>
      <c r="BB1" s="30" t="s">
        <v>316</v>
      </c>
      <c r="BC1" s="30"/>
      <c r="BD1" s="30"/>
      <c r="BE1" s="30"/>
      <c r="BF1" s="30" t="s">
        <v>317</v>
      </c>
      <c r="BG1" s="30"/>
      <c r="BH1" s="30"/>
      <c r="BI1" s="30"/>
      <c r="BJ1" s="30" t="s">
        <v>318</v>
      </c>
      <c r="BK1" s="30"/>
      <c r="BL1" s="30"/>
      <c r="BM1" s="30"/>
      <c r="BN1" s="30" t="s">
        <v>319</v>
      </c>
      <c r="BO1" s="30"/>
      <c r="BP1" s="30"/>
      <c r="BQ1" s="30"/>
      <c r="BR1" s="30" t="s">
        <v>320</v>
      </c>
      <c r="BS1" s="30"/>
      <c r="BT1" s="30"/>
      <c r="BU1" s="30"/>
      <c r="BV1" s="30" t="s">
        <v>321</v>
      </c>
      <c r="BW1" s="30"/>
      <c r="BX1" s="30"/>
      <c r="BY1" s="30"/>
      <c r="BZ1" s="30" t="s">
        <v>322</v>
      </c>
      <c r="CA1" s="30"/>
      <c r="CB1" s="30"/>
      <c r="CC1" s="30"/>
      <c r="CD1" s="30" t="s">
        <v>323</v>
      </c>
      <c r="CE1" s="30"/>
      <c r="CF1" s="30"/>
      <c r="CG1" s="30"/>
      <c r="CH1" s="30" t="s">
        <v>324</v>
      </c>
      <c r="CI1" s="30"/>
      <c r="CJ1" s="30"/>
      <c r="CK1" s="30"/>
      <c r="CL1" s="30" t="s">
        <v>325</v>
      </c>
      <c r="CM1" s="30"/>
      <c r="CN1" s="30"/>
      <c r="CO1" s="30"/>
      <c r="CP1" s="30" t="s">
        <v>326</v>
      </c>
      <c r="CQ1" s="30"/>
      <c r="CR1" s="30"/>
      <c r="CS1" s="30"/>
      <c r="CT1" s="30" t="s">
        <v>327</v>
      </c>
      <c r="CU1" s="30"/>
      <c r="CV1" s="30"/>
      <c r="CW1" s="30"/>
      <c r="CX1" s="30" t="s">
        <v>328</v>
      </c>
      <c r="CY1" s="30"/>
      <c r="CZ1" s="30"/>
      <c r="DA1" s="30"/>
    </row>
    <row r="2" spans="1:105" ht="18" customHeight="1" x14ac:dyDescent="0.3">
      <c r="A2" s="15" t="s">
        <v>329</v>
      </c>
      <c r="B2" s="15" t="s">
        <v>330</v>
      </c>
      <c r="C2" s="15" t="s">
        <v>331</v>
      </c>
      <c r="D2" s="16" t="s">
        <v>332</v>
      </c>
      <c r="E2" s="16" t="s">
        <v>333</v>
      </c>
      <c r="F2" s="15" t="s">
        <v>330</v>
      </c>
      <c r="G2" s="15" t="s">
        <v>331</v>
      </c>
      <c r="H2" s="16" t="s">
        <v>332</v>
      </c>
      <c r="I2" s="16" t="s">
        <v>333</v>
      </c>
      <c r="J2" s="15" t="s">
        <v>330</v>
      </c>
      <c r="K2" s="15" t="s">
        <v>331</v>
      </c>
      <c r="L2" s="16" t="s">
        <v>332</v>
      </c>
      <c r="M2" s="16" t="s">
        <v>333</v>
      </c>
      <c r="N2" s="15" t="s">
        <v>330</v>
      </c>
      <c r="O2" s="15" t="s">
        <v>331</v>
      </c>
      <c r="P2" s="16" t="s">
        <v>332</v>
      </c>
      <c r="Q2" s="16" t="s">
        <v>333</v>
      </c>
      <c r="R2" s="15" t="s">
        <v>330</v>
      </c>
      <c r="S2" s="15" t="s">
        <v>331</v>
      </c>
      <c r="T2" s="16" t="s">
        <v>332</v>
      </c>
      <c r="U2" s="16" t="s">
        <v>333</v>
      </c>
      <c r="V2" s="15" t="s">
        <v>330</v>
      </c>
      <c r="W2" s="15" t="s">
        <v>331</v>
      </c>
      <c r="X2" s="16" t="s">
        <v>332</v>
      </c>
      <c r="Y2" s="16" t="s">
        <v>333</v>
      </c>
      <c r="Z2" s="15" t="s">
        <v>330</v>
      </c>
      <c r="AA2" s="15" t="s">
        <v>331</v>
      </c>
      <c r="AB2" s="16" t="s">
        <v>332</v>
      </c>
      <c r="AC2" s="16" t="s">
        <v>333</v>
      </c>
      <c r="AD2" s="15" t="s">
        <v>330</v>
      </c>
      <c r="AE2" s="15" t="s">
        <v>331</v>
      </c>
      <c r="AF2" s="16" t="s">
        <v>332</v>
      </c>
      <c r="AG2" s="16" t="s">
        <v>333</v>
      </c>
      <c r="AH2" s="15" t="s">
        <v>330</v>
      </c>
      <c r="AI2" s="15" t="s">
        <v>331</v>
      </c>
      <c r="AJ2" s="16" t="s">
        <v>332</v>
      </c>
      <c r="AK2" s="16" t="s">
        <v>333</v>
      </c>
      <c r="AL2" s="15" t="s">
        <v>330</v>
      </c>
      <c r="AM2" s="15" t="s">
        <v>331</v>
      </c>
      <c r="AN2" s="16" t="s">
        <v>332</v>
      </c>
      <c r="AO2" s="16" t="s">
        <v>333</v>
      </c>
      <c r="AP2" s="15" t="s">
        <v>330</v>
      </c>
      <c r="AQ2" s="15" t="s">
        <v>331</v>
      </c>
      <c r="AR2" s="16" t="s">
        <v>332</v>
      </c>
      <c r="AS2" s="16" t="s">
        <v>333</v>
      </c>
      <c r="AT2" s="15" t="s">
        <v>330</v>
      </c>
      <c r="AU2" s="15" t="s">
        <v>331</v>
      </c>
      <c r="AV2" s="16" t="s">
        <v>332</v>
      </c>
      <c r="AW2" s="16" t="s">
        <v>333</v>
      </c>
      <c r="AX2" s="15" t="s">
        <v>330</v>
      </c>
      <c r="AY2" s="15" t="s">
        <v>331</v>
      </c>
      <c r="AZ2" s="16" t="s">
        <v>332</v>
      </c>
      <c r="BA2" s="16" t="s">
        <v>333</v>
      </c>
      <c r="BB2" s="15" t="s">
        <v>330</v>
      </c>
      <c r="BC2" s="15" t="s">
        <v>331</v>
      </c>
      <c r="BD2" s="16" t="s">
        <v>332</v>
      </c>
      <c r="BE2" s="16" t="s">
        <v>333</v>
      </c>
      <c r="BF2" s="15" t="s">
        <v>330</v>
      </c>
      <c r="BG2" s="15" t="s">
        <v>331</v>
      </c>
      <c r="BH2" s="16" t="s">
        <v>332</v>
      </c>
      <c r="BI2" s="16" t="s">
        <v>333</v>
      </c>
      <c r="BJ2" s="15" t="s">
        <v>330</v>
      </c>
      <c r="BK2" s="15" t="s">
        <v>331</v>
      </c>
      <c r="BL2" s="16" t="s">
        <v>332</v>
      </c>
      <c r="BM2" s="16" t="s">
        <v>333</v>
      </c>
      <c r="BN2" s="15" t="s">
        <v>330</v>
      </c>
      <c r="BO2" s="15" t="s">
        <v>331</v>
      </c>
      <c r="BP2" s="16" t="s">
        <v>332</v>
      </c>
      <c r="BQ2" s="16" t="s">
        <v>333</v>
      </c>
      <c r="BR2" s="15" t="s">
        <v>330</v>
      </c>
      <c r="BS2" s="15" t="s">
        <v>331</v>
      </c>
      <c r="BT2" s="16" t="s">
        <v>332</v>
      </c>
      <c r="BU2" s="16" t="s">
        <v>333</v>
      </c>
      <c r="BV2" s="15" t="s">
        <v>330</v>
      </c>
      <c r="BW2" s="15" t="s">
        <v>331</v>
      </c>
      <c r="BX2" s="16" t="s">
        <v>332</v>
      </c>
      <c r="BY2" s="16" t="s">
        <v>333</v>
      </c>
      <c r="BZ2" s="15" t="s">
        <v>330</v>
      </c>
      <c r="CA2" s="15" t="s">
        <v>331</v>
      </c>
      <c r="CB2" s="16" t="s">
        <v>332</v>
      </c>
      <c r="CC2" s="16" t="s">
        <v>333</v>
      </c>
      <c r="CD2" s="15" t="s">
        <v>330</v>
      </c>
      <c r="CE2" s="15" t="s">
        <v>331</v>
      </c>
      <c r="CF2" s="16" t="s">
        <v>332</v>
      </c>
      <c r="CG2" s="16" t="s">
        <v>333</v>
      </c>
      <c r="CH2" s="15" t="s">
        <v>330</v>
      </c>
      <c r="CI2" s="15" t="s">
        <v>331</v>
      </c>
      <c r="CJ2" s="16" t="s">
        <v>332</v>
      </c>
      <c r="CK2" s="16" t="s">
        <v>333</v>
      </c>
      <c r="CL2" s="15" t="s">
        <v>330</v>
      </c>
      <c r="CM2" s="15" t="s">
        <v>331</v>
      </c>
      <c r="CN2" s="16" t="s">
        <v>332</v>
      </c>
      <c r="CO2" s="16" t="s">
        <v>333</v>
      </c>
      <c r="CP2" s="15" t="s">
        <v>330</v>
      </c>
      <c r="CQ2" s="15" t="s">
        <v>331</v>
      </c>
      <c r="CR2" s="16" t="s">
        <v>332</v>
      </c>
      <c r="CS2" s="16" t="s">
        <v>333</v>
      </c>
      <c r="CT2" s="15" t="s">
        <v>330</v>
      </c>
      <c r="CU2" s="15" t="s">
        <v>331</v>
      </c>
      <c r="CV2" s="16" t="s">
        <v>332</v>
      </c>
      <c r="CW2" s="16" t="s">
        <v>333</v>
      </c>
      <c r="CX2" s="15" t="s">
        <v>330</v>
      </c>
      <c r="CY2" s="15" t="s">
        <v>331</v>
      </c>
      <c r="CZ2" s="16" t="s">
        <v>332</v>
      </c>
      <c r="DA2" s="16" t="s">
        <v>333</v>
      </c>
    </row>
    <row r="3" spans="1:105" ht="18" customHeight="1" x14ac:dyDescent="0.3">
      <c r="A3" s="3" t="s">
        <v>334</v>
      </c>
      <c r="B3" s="10">
        <v>32647</v>
      </c>
      <c r="C3" s="17">
        <v>0.1489</v>
      </c>
      <c r="D3" s="18" t="s">
        <v>335</v>
      </c>
      <c r="E3" s="19" t="s">
        <v>336</v>
      </c>
      <c r="F3" s="10">
        <v>16766</v>
      </c>
      <c r="G3" s="17">
        <v>0.1028</v>
      </c>
      <c r="H3" s="18" t="s">
        <v>337</v>
      </c>
      <c r="I3" s="19" t="s">
        <v>336</v>
      </c>
      <c r="J3" s="10">
        <v>25150</v>
      </c>
      <c r="K3" s="17">
        <v>0.24199999999999999</v>
      </c>
      <c r="L3" s="18" t="s">
        <v>338</v>
      </c>
      <c r="M3" s="19" t="s">
        <v>339</v>
      </c>
      <c r="N3" s="10">
        <v>21156</v>
      </c>
      <c r="O3" s="17">
        <v>0.17269999999999999</v>
      </c>
      <c r="P3" s="18" t="s">
        <v>340</v>
      </c>
      <c r="Q3" s="19" t="s">
        <v>336</v>
      </c>
      <c r="R3" s="10">
        <v>17997</v>
      </c>
      <c r="S3" s="17">
        <v>0.19400000000000001</v>
      </c>
      <c r="T3" s="18" t="s">
        <v>341</v>
      </c>
      <c r="U3" s="19" t="s">
        <v>339</v>
      </c>
      <c r="V3" s="10">
        <v>36586</v>
      </c>
      <c r="W3" s="17">
        <v>0.22040000000000001</v>
      </c>
      <c r="X3" s="18" t="s">
        <v>342</v>
      </c>
      <c r="Y3" s="19" t="s">
        <v>336</v>
      </c>
      <c r="Z3" s="10">
        <v>59971</v>
      </c>
      <c r="AA3" s="17">
        <v>0.35930000000000001</v>
      </c>
      <c r="AB3" s="18" t="s">
        <v>343</v>
      </c>
      <c r="AC3" s="19" t="s">
        <v>339</v>
      </c>
      <c r="AD3" s="10">
        <v>17261</v>
      </c>
      <c r="AE3" s="17">
        <v>0.17280000000000001</v>
      </c>
      <c r="AF3" s="18" t="s">
        <v>344</v>
      </c>
      <c r="AG3" s="19" t="s">
        <v>336</v>
      </c>
      <c r="AH3" s="10">
        <v>16198</v>
      </c>
      <c r="AI3" s="17">
        <v>0.16950000000000001</v>
      </c>
      <c r="AJ3" s="23" t="s">
        <v>345</v>
      </c>
      <c r="AK3" s="19" t="s">
        <v>336</v>
      </c>
      <c r="AL3" s="10">
        <v>20091</v>
      </c>
      <c r="AM3" s="17">
        <v>0.28970000000000001</v>
      </c>
      <c r="AN3" s="18" t="s">
        <v>346</v>
      </c>
      <c r="AO3" s="19" t="s">
        <v>339</v>
      </c>
      <c r="AP3" s="10">
        <v>6370</v>
      </c>
      <c r="AQ3" s="17">
        <v>0.16370000000000001</v>
      </c>
      <c r="AR3" s="18" t="s">
        <v>347</v>
      </c>
      <c r="AS3" s="19" t="s">
        <v>339</v>
      </c>
      <c r="AT3" s="10">
        <v>27194</v>
      </c>
      <c r="AU3" s="17">
        <v>0.3201</v>
      </c>
      <c r="AV3" s="18" t="s">
        <v>348</v>
      </c>
      <c r="AW3" s="19" t="s">
        <v>339</v>
      </c>
      <c r="AX3" s="10">
        <v>24445</v>
      </c>
      <c r="AY3" s="17">
        <v>0.2225</v>
      </c>
      <c r="AZ3" s="18" t="s">
        <v>349</v>
      </c>
      <c r="BA3" s="19" t="s">
        <v>339</v>
      </c>
      <c r="BB3" s="10">
        <v>18759</v>
      </c>
      <c r="BC3" s="17">
        <v>0.26790000000000003</v>
      </c>
      <c r="BD3" s="18" t="s">
        <v>350</v>
      </c>
      <c r="BE3" s="19" t="s">
        <v>336</v>
      </c>
      <c r="BF3" s="10">
        <v>23156</v>
      </c>
      <c r="BG3" s="17">
        <v>0.23669999999999999</v>
      </c>
      <c r="BH3" s="18" t="s">
        <v>350</v>
      </c>
      <c r="BI3" s="19" t="s">
        <v>336</v>
      </c>
      <c r="BJ3" s="10">
        <v>28917</v>
      </c>
      <c r="BK3" s="17">
        <v>0.20680000000000001</v>
      </c>
      <c r="BL3" s="18" t="s">
        <v>351</v>
      </c>
      <c r="BM3" s="19" t="s">
        <v>339</v>
      </c>
      <c r="BN3" s="10">
        <v>43179</v>
      </c>
      <c r="BO3" s="17">
        <v>0.21299999999999999</v>
      </c>
      <c r="BP3" s="18" t="s">
        <v>352</v>
      </c>
      <c r="BQ3" s="19" t="s">
        <v>339</v>
      </c>
      <c r="BR3" s="10">
        <v>49432</v>
      </c>
      <c r="BS3" s="20">
        <f>BR3/$BR$8</f>
        <v>0.29287309740909928</v>
      </c>
      <c r="BT3" s="18" t="s">
        <v>353</v>
      </c>
      <c r="BU3" s="19" t="s">
        <v>339</v>
      </c>
      <c r="BV3" s="10">
        <v>48856</v>
      </c>
      <c r="BW3" s="20">
        <f>BV3/$BV$8</f>
        <v>0.28434242612951849</v>
      </c>
      <c r="BX3" s="18" t="s">
        <v>354</v>
      </c>
      <c r="BY3" s="19" t="s">
        <v>339</v>
      </c>
      <c r="BZ3" s="10">
        <v>22933</v>
      </c>
      <c r="CA3" s="20">
        <f>BZ3/$BZ$8</f>
        <v>0.29935125115848005</v>
      </c>
      <c r="CB3" s="25" t="s">
        <v>453</v>
      </c>
      <c r="CC3" s="19" t="s">
        <v>339</v>
      </c>
      <c r="CD3" s="10">
        <v>6259</v>
      </c>
      <c r="CE3" s="20">
        <f>CD3/$CD$8</f>
        <v>0.27437313694546728</v>
      </c>
      <c r="CF3" s="23" t="s">
        <v>454</v>
      </c>
      <c r="CG3" s="19" t="s">
        <v>339</v>
      </c>
      <c r="CH3" s="10"/>
      <c r="CI3" s="20"/>
      <c r="CJ3" s="18"/>
      <c r="CK3" s="19"/>
      <c r="CL3" s="10"/>
      <c r="CM3" s="20"/>
      <c r="CN3" s="18"/>
      <c r="CO3" s="19"/>
      <c r="CP3" s="10"/>
      <c r="CQ3" s="20"/>
      <c r="CR3" s="18"/>
      <c r="CS3" s="19"/>
      <c r="CT3" s="10"/>
      <c r="CU3" s="20"/>
      <c r="CV3" s="18"/>
      <c r="CW3" s="19"/>
      <c r="CX3" s="10"/>
      <c r="CY3" s="20"/>
      <c r="CZ3" s="18"/>
      <c r="DA3" s="19"/>
    </row>
    <row r="4" spans="1:105" ht="18" customHeight="1" x14ac:dyDescent="0.3">
      <c r="A4" s="3" t="s">
        <v>355</v>
      </c>
      <c r="B4" s="10">
        <v>38609</v>
      </c>
      <c r="C4" s="17">
        <v>0.17610000000000001</v>
      </c>
      <c r="D4" s="18" t="s">
        <v>356</v>
      </c>
      <c r="E4" s="19" t="s">
        <v>357</v>
      </c>
      <c r="F4" s="10">
        <v>25534</v>
      </c>
      <c r="G4" s="17">
        <v>0.1565</v>
      </c>
      <c r="H4" s="18" t="s">
        <v>358</v>
      </c>
      <c r="I4" s="19" t="s">
        <v>357</v>
      </c>
      <c r="J4" s="10">
        <v>11944</v>
      </c>
      <c r="K4" s="17">
        <v>0.1149</v>
      </c>
      <c r="L4" s="18" t="s">
        <v>358</v>
      </c>
      <c r="M4" s="19" t="s">
        <v>357</v>
      </c>
      <c r="N4" s="10">
        <v>14693</v>
      </c>
      <c r="O4" s="17">
        <v>0.11990000000000001</v>
      </c>
      <c r="P4" s="18" t="s">
        <v>359</v>
      </c>
      <c r="Q4" s="19" t="s">
        <v>357</v>
      </c>
      <c r="R4" s="10">
        <v>8515</v>
      </c>
      <c r="S4" s="17">
        <v>9.1800000000000007E-2</v>
      </c>
      <c r="T4" s="18" t="s">
        <v>360</v>
      </c>
      <c r="U4" s="19" t="s">
        <v>361</v>
      </c>
      <c r="V4" s="10">
        <v>5530</v>
      </c>
      <c r="W4" s="17">
        <v>3.3300000000000003E-2</v>
      </c>
      <c r="X4" s="18" t="s">
        <v>362</v>
      </c>
      <c r="Y4" s="19" t="s">
        <v>363</v>
      </c>
      <c r="Z4" s="10">
        <v>2950</v>
      </c>
      <c r="AA4" s="17">
        <v>1.77E-2</v>
      </c>
      <c r="AB4" s="18" t="s">
        <v>364</v>
      </c>
      <c r="AC4" s="19" t="s">
        <v>363</v>
      </c>
      <c r="AD4" s="10">
        <v>9357</v>
      </c>
      <c r="AE4" s="17">
        <v>9.3700000000000006E-2</v>
      </c>
      <c r="AF4" s="18" t="s">
        <v>365</v>
      </c>
      <c r="AG4" s="19" t="s">
        <v>363</v>
      </c>
      <c r="AH4" s="10">
        <v>279</v>
      </c>
      <c r="AI4" s="17">
        <v>2.8999999999999998E-3</v>
      </c>
      <c r="AJ4" s="23" t="s">
        <v>366</v>
      </c>
      <c r="AK4" s="19" t="s">
        <v>361</v>
      </c>
      <c r="AL4" s="10">
        <v>259</v>
      </c>
      <c r="AM4" s="17">
        <v>3.7000000000000002E-3</v>
      </c>
      <c r="AN4" s="23" t="s">
        <v>366</v>
      </c>
      <c r="AO4" s="19" t="s">
        <v>361</v>
      </c>
      <c r="AP4" s="10">
        <v>1417</v>
      </c>
      <c r="AQ4" s="17">
        <v>3.6400000000000002E-2</v>
      </c>
      <c r="AR4" s="23" t="s">
        <v>367</v>
      </c>
      <c r="AS4" s="19" t="s">
        <v>363</v>
      </c>
      <c r="AT4" s="10">
        <v>2369</v>
      </c>
      <c r="AU4" s="17">
        <v>2.7900000000000001E-2</v>
      </c>
      <c r="AV4" s="18" t="s">
        <v>368</v>
      </c>
      <c r="AW4" s="19" t="s">
        <v>336</v>
      </c>
      <c r="AX4" s="10">
        <v>7394</v>
      </c>
      <c r="AY4" s="17">
        <v>6.7299999999999999E-2</v>
      </c>
      <c r="AZ4" s="23" t="s">
        <v>369</v>
      </c>
      <c r="BA4" s="19" t="s">
        <v>363</v>
      </c>
      <c r="BB4" s="10">
        <v>3322</v>
      </c>
      <c r="BC4" s="17">
        <v>4.7399999999999998E-2</v>
      </c>
      <c r="BD4" s="18" t="s">
        <v>370</v>
      </c>
      <c r="BE4" s="19" t="s">
        <v>336</v>
      </c>
      <c r="BF4" s="10">
        <v>4067</v>
      </c>
      <c r="BG4" s="17">
        <v>4.1599999999999998E-2</v>
      </c>
      <c r="BH4" s="18" t="s">
        <v>370</v>
      </c>
      <c r="BI4" s="19" t="s">
        <v>336</v>
      </c>
      <c r="BJ4" s="10">
        <v>19072</v>
      </c>
      <c r="BK4" s="17">
        <v>0.13639999999999999</v>
      </c>
      <c r="BL4" s="18" t="s">
        <v>371</v>
      </c>
      <c r="BM4" s="19" t="s">
        <v>357</v>
      </c>
      <c r="BN4" s="10">
        <v>15076</v>
      </c>
      <c r="BO4" s="17">
        <v>7.4399999999999994E-2</v>
      </c>
      <c r="BP4" s="18" t="s">
        <v>372</v>
      </c>
      <c r="BQ4" s="19" t="s">
        <v>363</v>
      </c>
      <c r="BR4" s="10">
        <v>3201</v>
      </c>
      <c r="BS4" s="20">
        <f>BR4/$BR$8</f>
        <v>1.8965180142549901E-2</v>
      </c>
      <c r="BT4" s="18" t="s">
        <v>373</v>
      </c>
      <c r="BU4" s="19" t="s">
        <v>336</v>
      </c>
      <c r="BV4" s="10">
        <v>7517</v>
      </c>
      <c r="BW4" s="20">
        <f>BV4/$BV$8</f>
        <v>4.3749017873251812E-2</v>
      </c>
      <c r="BX4" s="18" t="s">
        <v>374</v>
      </c>
      <c r="BY4" s="19" t="s">
        <v>363</v>
      </c>
      <c r="BZ4" s="10">
        <v>2229</v>
      </c>
      <c r="CA4" s="20">
        <f t="shared" ref="CA4:CA7" si="0">BZ4/$BZ$8</f>
        <v>2.9095798143821221E-2</v>
      </c>
      <c r="CB4" s="25" t="s">
        <v>449</v>
      </c>
      <c r="CC4" s="19" t="s">
        <v>363</v>
      </c>
      <c r="CD4" s="10">
        <v>565</v>
      </c>
      <c r="CE4" s="20">
        <f t="shared" ref="CE4:CE7" si="1">CD4/$CD$8</f>
        <v>2.4767666140627739E-2</v>
      </c>
      <c r="CF4" s="23" t="s">
        <v>455</v>
      </c>
      <c r="CG4" s="19" t="s">
        <v>339</v>
      </c>
      <c r="CH4" s="10"/>
      <c r="CI4" s="20"/>
      <c r="CJ4" s="18"/>
      <c r="CK4" s="19"/>
      <c r="CL4" s="10"/>
      <c r="CM4" s="20"/>
      <c r="CN4" s="18"/>
      <c r="CO4" s="19"/>
      <c r="CP4" s="10"/>
      <c r="CQ4" s="20"/>
      <c r="CR4" s="18"/>
      <c r="CS4" s="19"/>
      <c r="CT4" s="10"/>
      <c r="CU4" s="20"/>
      <c r="CV4" s="18"/>
      <c r="CW4" s="19"/>
      <c r="CX4" s="10"/>
      <c r="CY4" s="20"/>
      <c r="CZ4" s="18"/>
      <c r="DA4" s="19"/>
    </row>
    <row r="5" spans="1:105" ht="18" customHeight="1" x14ac:dyDescent="0.3">
      <c r="A5" s="3" t="s">
        <v>375</v>
      </c>
      <c r="B5" s="10">
        <v>10234</v>
      </c>
      <c r="C5" s="17">
        <v>4.6699999999999998E-2</v>
      </c>
      <c r="D5" s="18" t="s">
        <v>376</v>
      </c>
      <c r="E5" s="19" t="s">
        <v>336</v>
      </c>
      <c r="F5" s="10">
        <v>8642</v>
      </c>
      <c r="G5" s="17">
        <v>5.2999999999999999E-2</v>
      </c>
      <c r="H5" s="18" t="s">
        <v>377</v>
      </c>
      <c r="I5" s="19" t="s">
        <v>363</v>
      </c>
      <c r="J5" s="10">
        <v>7491</v>
      </c>
      <c r="K5" s="17">
        <v>7.2099999999999997E-2</v>
      </c>
      <c r="L5" s="18" t="s">
        <v>377</v>
      </c>
      <c r="M5" s="19" t="s">
        <v>363</v>
      </c>
      <c r="N5" s="10">
        <v>972</v>
      </c>
      <c r="O5" s="17">
        <v>7.9000000000000008E-3</v>
      </c>
      <c r="P5" s="18" t="s">
        <v>378</v>
      </c>
      <c r="Q5" s="19" t="s">
        <v>357</v>
      </c>
      <c r="R5" s="10">
        <v>1654</v>
      </c>
      <c r="S5" s="17">
        <v>1.78E-2</v>
      </c>
      <c r="T5" s="18" t="s">
        <v>379</v>
      </c>
      <c r="U5" s="19" t="s">
        <v>380</v>
      </c>
      <c r="V5" s="10">
        <v>2258</v>
      </c>
      <c r="W5" s="17">
        <v>1.3599999999999999E-2</v>
      </c>
      <c r="X5" s="18" t="s">
        <v>360</v>
      </c>
      <c r="Y5" s="19" t="s">
        <v>361</v>
      </c>
      <c r="Z5" s="10">
        <v>2350</v>
      </c>
      <c r="AA5" s="17">
        <v>1.41E-2</v>
      </c>
      <c r="AB5" s="18" t="s">
        <v>360</v>
      </c>
      <c r="AC5" s="19" t="s">
        <v>361</v>
      </c>
      <c r="AD5" s="10">
        <v>1621</v>
      </c>
      <c r="AE5" s="17">
        <v>1.6199999999999999E-2</v>
      </c>
      <c r="AF5" s="23" t="s">
        <v>360</v>
      </c>
      <c r="AG5" s="19" t="s">
        <v>361</v>
      </c>
      <c r="AH5" s="10">
        <v>1440</v>
      </c>
      <c r="AI5" s="17">
        <v>1.5100000000000001E-2</v>
      </c>
      <c r="AJ5" s="23" t="s">
        <v>360</v>
      </c>
      <c r="AK5" s="19" t="s">
        <v>361</v>
      </c>
      <c r="AL5" s="10">
        <v>5168</v>
      </c>
      <c r="AM5" s="17">
        <v>7.4499999999999997E-2</v>
      </c>
      <c r="AN5" s="18" t="s">
        <v>381</v>
      </c>
      <c r="AO5" s="19" t="s">
        <v>363</v>
      </c>
      <c r="AP5" s="10">
        <v>2961</v>
      </c>
      <c r="AQ5" s="17">
        <v>7.6100000000000001E-2</v>
      </c>
      <c r="AR5" s="23" t="s">
        <v>382</v>
      </c>
      <c r="AS5" s="19" t="s">
        <v>363</v>
      </c>
      <c r="AT5" s="10">
        <v>3207</v>
      </c>
      <c r="AU5" s="17">
        <v>3.7699999999999997E-2</v>
      </c>
      <c r="AV5" s="18" t="s">
        <v>383</v>
      </c>
      <c r="AW5" s="19" t="s">
        <v>336</v>
      </c>
      <c r="AX5" s="10">
        <v>4845</v>
      </c>
      <c r="AY5" s="17">
        <v>4.41E-2</v>
      </c>
      <c r="AZ5" s="23" t="s">
        <v>384</v>
      </c>
      <c r="BA5" s="19" t="s">
        <v>363</v>
      </c>
      <c r="BB5" s="10">
        <v>1719</v>
      </c>
      <c r="BC5" s="17">
        <v>2.4500000000000001E-2</v>
      </c>
      <c r="BD5" s="18" t="s">
        <v>385</v>
      </c>
      <c r="BE5" s="19" t="s">
        <v>336</v>
      </c>
      <c r="BF5" s="10">
        <v>2265</v>
      </c>
      <c r="BG5" s="17">
        <v>2.3199999999999998E-2</v>
      </c>
      <c r="BH5" s="18" t="s">
        <v>385</v>
      </c>
      <c r="BI5" s="19" t="s">
        <v>336</v>
      </c>
      <c r="BJ5" s="10">
        <v>11035</v>
      </c>
      <c r="BK5" s="17">
        <v>7.8899999999999998E-2</v>
      </c>
      <c r="BL5" s="18" t="s">
        <v>386</v>
      </c>
      <c r="BM5" s="19" t="s">
        <v>363</v>
      </c>
      <c r="BN5" s="10">
        <v>6835</v>
      </c>
      <c r="BO5" s="17">
        <v>3.3700000000000001E-2</v>
      </c>
      <c r="BP5" s="18" t="s">
        <v>387</v>
      </c>
      <c r="BQ5" s="19" t="s">
        <v>363</v>
      </c>
      <c r="BR5" s="10">
        <v>17722</v>
      </c>
      <c r="BS5" s="20">
        <f>BR5/$BR$8</f>
        <v>0.10499872617502948</v>
      </c>
      <c r="BT5" s="23" t="s">
        <v>372</v>
      </c>
      <c r="BU5" s="19" t="s">
        <v>363</v>
      </c>
      <c r="BV5" s="10">
        <v>14882</v>
      </c>
      <c r="BW5" s="20">
        <f>BV5/$BV$8</f>
        <v>8.6613394171841621E-2</v>
      </c>
      <c r="BX5" s="18" t="s">
        <v>372</v>
      </c>
      <c r="BY5" s="19" t="s">
        <v>363</v>
      </c>
      <c r="BZ5" s="10">
        <v>3316</v>
      </c>
      <c r="CA5" s="20">
        <f t="shared" si="0"/>
        <v>4.3284731558955215E-2</v>
      </c>
      <c r="CB5" s="25" t="s">
        <v>450</v>
      </c>
      <c r="CC5" s="19" t="s">
        <v>363</v>
      </c>
      <c r="CD5" s="10">
        <v>2190</v>
      </c>
      <c r="CE5" s="20">
        <f t="shared" si="1"/>
        <v>9.6002104155707521E-2</v>
      </c>
      <c r="CF5" s="23" t="s">
        <v>372</v>
      </c>
      <c r="CG5" s="19" t="s">
        <v>363</v>
      </c>
      <c r="CH5" s="10"/>
      <c r="CI5" s="20"/>
      <c r="CJ5" s="18"/>
      <c r="CK5" s="19"/>
      <c r="CL5" s="10"/>
      <c r="CM5" s="20"/>
      <c r="CN5" s="18"/>
      <c r="CO5" s="19"/>
      <c r="CP5" s="10"/>
      <c r="CQ5" s="20"/>
      <c r="CR5" s="18"/>
      <c r="CS5" s="19"/>
      <c r="CT5" s="10"/>
      <c r="CU5" s="20"/>
      <c r="CV5" s="18"/>
      <c r="CW5" s="19"/>
      <c r="CX5" s="10"/>
      <c r="CY5" s="20"/>
      <c r="CZ5" s="18"/>
      <c r="DA5" s="19"/>
    </row>
    <row r="6" spans="1:105" ht="18" customHeight="1" x14ac:dyDescent="0.3">
      <c r="A6" s="3" t="s">
        <v>388</v>
      </c>
      <c r="B6" s="10">
        <v>5464</v>
      </c>
      <c r="C6" s="17">
        <v>2.4899999999999999E-2</v>
      </c>
      <c r="D6" s="18" t="s">
        <v>389</v>
      </c>
      <c r="E6" s="19" t="s">
        <v>363</v>
      </c>
      <c r="F6" s="10">
        <v>7310</v>
      </c>
      <c r="G6" s="17">
        <v>4.48E-2</v>
      </c>
      <c r="H6" s="18" t="s">
        <v>390</v>
      </c>
      <c r="I6" s="19" t="s">
        <v>363</v>
      </c>
      <c r="J6" s="10">
        <v>3906</v>
      </c>
      <c r="K6" s="17">
        <v>3.7600000000000001E-2</v>
      </c>
      <c r="L6" s="18" t="s">
        <v>390</v>
      </c>
      <c r="M6" s="19" t="s">
        <v>363</v>
      </c>
      <c r="N6" s="10">
        <v>9247</v>
      </c>
      <c r="O6" s="17">
        <v>7.5499999999999998E-2</v>
      </c>
      <c r="P6" s="18" t="s">
        <v>391</v>
      </c>
      <c r="Q6" s="19" t="s">
        <v>363</v>
      </c>
      <c r="R6" s="10">
        <v>2601</v>
      </c>
      <c r="S6" s="17">
        <v>2.8000000000000001E-2</v>
      </c>
      <c r="T6" s="18" t="s">
        <v>392</v>
      </c>
      <c r="U6" s="19" t="s">
        <v>380</v>
      </c>
      <c r="V6" s="10">
        <v>9688</v>
      </c>
      <c r="W6" s="17">
        <v>5.8400000000000001E-2</v>
      </c>
      <c r="X6" s="18" t="s">
        <v>393</v>
      </c>
      <c r="Y6" s="19" t="s">
        <v>363</v>
      </c>
      <c r="Z6" s="10">
        <v>2792</v>
      </c>
      <c r="AA6" s="17">
        <v>1.67E-2</v>
      </c>
      <c r="AB6" s="18" t="s">
        <v>366</v>
      </c>
      <c r="AC6" s="19" t="s">
        <v>361</v>
      </c>
      <c r="AD6" s="10">
        <v>392</v>
      </c>
      <c r="AE6" s="17">
        <v>3.8999999999999998E-3</v>
      </c>
      <c r="AF6" s="23" t="s">
        <v>366</v>
      </c>
      <c r="AG6" s="19" t="s">
        <v>361</v>
      </c>
      <c r="AH6" s="10">
        <v>1902</v>
      </c>
      <c r="AI6" s="17">
        <v>1.9900000000000001E-2</v>
      </c>
      <c r="AJ6" s="18" t="s">
        <v>394</v>
      </c>
      <c r="AK6" s="19" t="s">
        <v>380</v>
      </c>
      <c r="AL6" s="10">
        <v>4110</v>
      </c>
      <c r="AM6" s="17">
        <v>5.9299999999999999E-2</v>
      </c>
      <c r="AN6" s="18" t="s">
        <v>395</v>
      </c>
      <c r="AO6" s="19" t="s">
        <v>363</v>
      </c>
      <c r="AP6" s="10">
        <v>5219</v>
      </c>
      <c r="AQ6" s="17">
        <v>0.13420000000000001</v>
      </c>
      <c r="AR6" s="18" t="s">
        <v>396</v>
      </c>
      <c r="AS6" s="19" t="s">
        <v>357</v>
      </c>
      <c r="AT6" s="10">
        <v>3235</v>
      </c>
      <c r="AU6" s="17">
        <v>3.8100000000000002E-2</v>
      </c>
      <c r="AV6" s="18" t="s">
        <v>383</v>
      </c>
      <c r="AW6" s="19" t="s">
        <v>336</v>
      </c>
      <c r="AX6" s="10">
        <v>6539</v>
      </c>
      <c r="AY6" s="17">
        <v>5.9499999999999997E-2</v>
      </c>
      <c r="AZ6" s="18" t="s">
        <v>397</v>
      </c>
      <c r="BA6" s="19" t="s">
        <v>339</v>
      </c>
      <c r="BB6" s="10">
        <v>2823</v>
      </c>
      <c r="BC6" s="17">
        <v>4.0300000000000002E-2</v>
      </c>
      <c r="BD6" s="18" t="s">
        <v>398</v>
      </c>
      <c r="BE6" s="19" t="s">
        <v>336</v>
      </c>
      <c r="BF6" s="10">
        <v>8251</v>
      </c>
      <c r="BG6" s="17">
        <v>8.43E-2</v>
      </c>
      <c r="BH6" s="23" t="s">
        <v>399</v>
      </c>
      <c r="BI6" s="19" t="s">
        <v>357</v>
      </c>
      <c r="BJ6" s="10">
        <v>2258</v>
      </c>
      <c r="BK6" s="17">
        <v>1.6199999999999999E-2</v>
      </c>
      <c r="BL6" s="18" t="s">
        <v>400</v>
      </c>
      <c r="BM6" s="19" t="s">
        <v>336</v>
      </c>
      <c r="BN6" s="10">
        <v>9312</v>
      </c>
      <c r="BO6" s="17">
        <v>4.5900000000000003E-2</v>
      </c>
      <c r="BP6" s="18" t="s">
        <v>401</v>
      </c>
      <c r="BQ6" s="19" t="s">
        <v>363</v>
      </c>
      <c r="BR6" s="10">
        <v>9443</v>
      </c>
      <c r="BS6" s="20">
        <f>BR6/$BR$8</f>
        <v>5.594757765888745E-2</v>
      </c>
      <c r="BT6" s="18" t="s">
        <v>402</v>
      </c>
      <c r="BU6" s="19" t="s">
        <v>363</v>
      </c>
      <c r="BV6" s="10">
        <v>8311</v>
      </c>
      <c r="BW6" s="20">
        <f>BV6/$BV$8</f>
        <v>4.8370106098788855E-2</v>
      </c>
      <c r="BX6" s="18" t="s">
        <v>403</v>
      </c>
      <c r="BY6" s="19" t="s">
        <v>363</v>
      </c>
      <c r="BZ6" s="10">
        <v>2127</v>
      </c>
      <c r="CA6" s="20">
        <f t="shared" si="0"/>
        <v>2.7764361889595218E-2</v>
      </c>
      <c r="CB6" s="25" t="s">
        <v>451</v>
      </c>
      <c r="CC6" s="19" t="s">
        <v>339</v>
      </c>
      <c r="CD6" s="10">
        <v>859</v>
      </c>
      <c r="CE6" s="20">
        <f t="shared" si="1"/>
        <v>3.7655619849202175E-2</v>
      </c>
      <c r="CF6" s="23" t="s">
        <v>456</v>
      </c>
      <c r="CG6" s="19" t="s">
        <v>339</v>
      </c>
      <c r="CH6" s="10"/>
      <c r="CI6" s="20"/>
      <c r="CJ6" s="18"/>
      <c r="CK6" s="19"/>
      <c r="CL6" s="10"/>
      <c r="CM6" s="20"/>
      <c r="CN6" s="18"/>
      <c r="CO6" s="19"/>
      <c r="CP6" s="10"/>
      <c r="CQ6" s="20"/>
      <c r="CR6" s="18"/>
      <c r="CS6" s="19"/>
      <c r="CT6" s="10"/>
      <c r="CU6" s="20"/>
      <c r="CV6" s="18"/>
      <c r="CW6" s="19"/>
      <c r="CX6" s="10"/>
      <c r="CY6" s="20"/>
      <c r="CZ6" s="18"/>
      <c r="DA6" s="19"/>
    </row>
    <row r="7" spans="1:105" ht="18" customHeight="1" x14ac:dyDescent="0.3">
      <c r="A7" s="3" t="s">
        <v>404</v>
      </c>
      <c r="B7" s="10">
        <v>4914</v>
      </c>
      <c r="C7" s="17">
        <v>2.24E-2</v>
      </c>
      <c r="D7" s="18" t="s">
        <v>405</v>
      </c>
      <c r="E7" s="19" t="s">
        <v>380</v>
      </c>
      <c r="F7" s="10">
        <v>5071</v>
      </c>
      <c r="G7" s="17">
        <v>3.1099999999999999E-2</v>
      </c>
      <c r="H7" s="18" t="s">
        <v>406</v>
      </c>
      <c r="I7" s="19" t="s">
        <v>336</v>
      </c>
      <c r="J7" s="10">
        <v>5121</v>
      </c>
      <c r="K7" s="17">
        <v>4.9299999999999997E-2</v>
      </c>
      <c r="L7" s="18" t="s">
        <v>407</v>
      </c>
      <c r="M7" s="19" t="s">
        <v>339</v>
      </c>
      <c r="N7" s="10">
        <v>2374</v>
      </c>
      <c r="O7" s="17">
        <v>1.9400000000000001E-2</v>
      </c>
      <c r="P7" s="18" t="s">
        <v>408</v>
      </c>
      <c r="Q7" s="19" t="s">
        <v>336</v>
      </c>
      <c r="R7" s="10">
        <v>3019</v>
      </c>
      <c r="S7" s="17">
        <v>3.2500000000000001E-2</v>
      </c>
      <c r="T7" s="18" t="s">
        <v>409</v>
      </c>
      <c r="U7" s="19" t="s">
        <v>363</v>
      </c>
      <c r="V7" s="10">
        <v>14181</v>
      </c>
      <c r="W7" s="17">
        <v>8.5400000000000004E-2</v>
      </c>
      <c r="X7" s="18" t="s">
        <v>410</v>
      </c>
      <c r="Y7" s="19" t="s">
        <v>339</v>
      </c>
      <c r="Z7" s="10">
        <v>3357</v>
      </c>
      <c r="AA7" s="17">
        <v>2.01E-2</v>
      </c>
      <c r="AB7" s="18" t="s">
        <v>411</v>
      </c>
      <c r="AC7" s="19" t="s">
        <v>363</v>
      </c>
      <c r="AD7" s="10">
        <v>3669</v>
      </c>
      <c r="AE7" s="17">
        <v>3.6700000000000003E-2</v>
      </c>
      <c r="AF7" s="18" t="s">
        <v>412</v>
      </c>
      <c r="AG7" s="19" t="s">
        <v>363</v>
      </c>
      <c r="AH7" s="10">
        <v>1988</v>
      </c>
      <c r="AI7" s="17">
        <v>2.0799999999999999E-2</v>
      </c>
      <c r="AJ7" s="18" t="s">
        <v>413</v>
      </c>
      <c r="AK7" s="19" t="s">
        <v>363</v>
      </c>
      <c r="AL7" s="10">
        <v>3774</v>
      </c>
      <c r="AM7" s="17">
        <v>5.4399999999999997E-2</v>
      </c>
      <c r="AN7" s="18" t="s">
        <v>414</v>
      </c>
      <c r="AO7" s="19" t="s">
        <v>363</v>
      </c>
      <c r="AP7" s="10">
        <v>1294</v>
      </c>
      <c r="AQ7" s="17">
        <v>3.3300000000000003E-2</v>
      </c>
      <c r="AR7" s="23" t="s">
        <v>415</v>
      </c>
      <c r="AS7" s="19" t="s">
        <v>339</v>
      </c>
      <c r="AT7" s="10">
        <v>2325</v>
      </c>
      <c r="AU7" s="17">
        <v>2.7400000000000001E-2</v>
      </c>
      <c r="AV7" s="18" t="s">
        <v>416</v>
      </c>
      <c r="AW7" s="19" t="s">
        <v>380</v>
      </c>
      <c r="AX7" s="10">
        <v>3805</v>
      </c>
      <c r="AY7" s="17">
        <v>3.4599999999999999E-2</v>
      </c>
      <c r="AZ7" s="18" t="s">
        <v>417</v>
      </c>
      <c r="BA7" s="19" t="s">
        <v>336</v>
      </c>
      <c r="BB7" s="10">
        <v>4485</v>
      </c>
      <c r="BC7" s="17">
        <v>6.4000000000000001E-2</v>
      </c>
      <c r="BD7" s="18" t="s">
        <v>418</v>
      </c>
      <c r="BE7" s="19" t="s">
        <v>357</v>
      </c>
      <c r="BF7" s="10">
        <v>2972</v>
      </c>
      <c r="BG7" s="17">
        <v>3.04E-2</v>
      </c>
      <c r="BH7" s="18" t="s">
        <v>419</v>
      </c>
      <c r="BI7" s="19" t="s">
        <v>339</v>
      </c>
      <c r="BJ7" s="10">
        <v>6934</v>
      </c>
      <c r="BK7" s="17">
        <v>4.9599999999999998E-2</v>
      </c>
      <c r="BL7" s="18" t="s">
        <v>420</v>
      </c>
      <c r="BM7" s="19" t="s">
        <v>363</v>
      </c>
      <c r="BN7" s="10">
        <v>5782</v>
      </c>
      <c r="BO7" s="17">
        <v>2.8500000000000001E-2</v>
      </c>
      <c r="BP7" s="18" t="s">
        <v>421</v>
      </c>
      <c r="BQ7" s="19" t="s">
        <v>339</v>
      </c>
      <c r="BR7" s="10">
        <v>4348</v>
      </c>
      <c r="BS7" s="20">
        <f>BR7/$BR$8</f>
        <v>2.5760888241114329E-2</v>
      </c>
      <c r="BT7" s="18" t="s">
        <v>422</v>
      </c>
      <c r="BU7" s="19" t="s">
        <v>339</v>
      </c>
      <c r="BV7" s="10">
        <v>4208</v>
      </c>
      <c r="BW7" s="20">
        <f>BV7/$BV$8</f>
        <v>2.4490603593274395E-2</v>
      </c>
      <c r="BX7" s="23" t="s">
        <v>423</v>
      </c>
      <c r="BY7" s="19" t="s">
        <v>339</v>
      </c>
      <c r="BZ7" s="10">
        <v>1677</v>
      </c>
      <c r="CA7" s="20">
        <f t="shared" si="0"/>
        <v>2.1890378415068724E-2</v>
      </c>
      <c r="CB7" s="25" t="s">
        <v>452</v>
      </c>
      <c r="CC7" s="19" t="s">
        <v>339</v>
      </c>
      <c r="CD7" s="10">
        <v>1816</v>
      </c>
      <c r="CE7" s="20">
        <f t="shared" si="1"/>
        <v>7.9607224267929155E-2</v>
      </c>
      <c r="CF7" s="23" t="s">
        <v>457</v>
      </c>
      <c r="CG7" s="19" t="s">
        <v>339</v>
      </c>
      <c r="CH7" s="10"/>
      <c r="CI7" s="20"/>
      <c r="CJ7" s="18"/>
      <c r="CK7" s="19"/>
      <c r="CL7" s="10"/>
      <c r="CM7" s="20"/>
      <c r="CN7" s="18"/>
      <c r="CO7" s="19"/>
      <c r="CP7" s="10"/>
      <c r="CQ7" s="20"/>
      <c r="CR7" s="18"/>
      <c r="CS7" s="19"/>
      <c r="CT7" s="10"/>
      <c r="CU7" s="20"/>
      <c r="CV7" s="18"/>
      <c r="CW7" s="19"/>
      <c r="CX7" s="10"/>
      <c r="CY7" s="20"/>
      <c r="CZ7" s="18"/>
      <c r="DA7" s="19"/>
    </row>
    <row r="8" spans="1:105" ht="18" customHeight="1" x14ac:dyDescent="0.3">
      <c r="A8" s="3" t="s">
        <v>424</v>
      </c>
      <c r="B8" s="10">
        <v>219230</v>
      </c>
      <c r="C8" s="17">
        <v>0.41899999999999998</v>
      </c>
      <c r="D8" s="21"/>
      <c r="E8" s="19"/>
      <c r="F8" s="10">
        <v>163105</v>
      </c>
      <c r="G8" s="17">
        <v>0.38819999999999999</v>
      </c>
      <c r="H8" s="21"/>
      <c r="I8" s="19"/>
      <c r="J8" s="10">
        <v>103921</v>
      </c>
      <c r="K8" s="17">
        <v>0.51590000000000003</v>
      </c>
      <c r="L8" s="21"/>
      <c r="M8" s="19"/>
      <c r="N8" s="10">
        <v>122535</v>
      </c>
      <c r="O8" s="17">
        <v>0.39529999999999998</v>
      </c>
      <c r="P8" s="21"/>
      <c r="Q8" s="19"/>
      <c r="R8" s="10">
        <v>92752</v>
      </c>
      <c r="S8" s="17">
        <v>0.36430000000000001</v>
      </c>
      <c r="T8" s="21"/>
      <c r="U8" s="19"/>
      <c r="V8" s="10">
        <v>165962</v>
      </c>
      <c r="W8" s="17">
        <v>0.41120000000000001</v>
      </c>
      <c r="X8" s="21"/>
      <c r="Y8" s="19"/>
      <c r="Z8" s="10">
        <v>166922</v>
      </c>
      <c r="AA8" s="17">
        <v>0.4279</v>
      </c>
      <c r="AB8" s="21"/>
      <c r="AC8" s="19"/>
      <c r="AD8" s="10">
        <v>99895</v>
      </c>
      <c r="AE8" s="17">
        <v>0.32329999999999998</v>
      </c>
      <c r="AF8" s="21"/>
      <c r="AG8" s="19"/>
      <c r="AH8" s="10">
        <v>95538</v>
      </c>
      <c r="AI8" s="17">
        <v>0.2283</v>
      </c>
      <c r="AJ8" s="21"/>
      <c r="AK8" s="19"/>
      <c r="AL8" s="10">
        <v>69348</v>
      </c>
      <c r="AM8" s="17">
        <v>0.48170000000000002</v>
      </c>
      <c r="AN8" s="21"/>
      <c r="AO8" s="19"/>
      <c r="AP8" s="10">
        <v>38903</v>
      </c>
      <c r="AQ8" s="17">
        <v>0.44369999999999998</v>
      </c>
      <c r="AR8" s="21"/>
      <c r="AS8" s="19"/>
      <c r="AT8" s="10">
        <v>84955</v>
      </c>
      <c r="AU8" s="17">
        <v>0.45119999999999999</v>
      </c>
      <c r="AV8" s="21"/>
      <c r="AW8" s="19"/>
      <c r="AX8" s="10">
        <v>109854</v>
      </c>
      <c r="AY8" s="17">
        <v>0.42809999999999998</v>
      </c>
      <c r="AZ8" s="21"/>
      <c r="BA8" s="19"/>
      <c r="BB8" s="10">
        <v>70034</v>
      </c>
      <c r="BC8" s="17">
        <v>0.44419999999999998</v>
      </c>
      <c r="BD8" s="21"/>
      <c r="BE8" s="19"/>
      <c r="BF8" s="10">
        <v>97828</v>
      </c>
      <c r="BG8" s="17">
        <v>0.41610000000000003</v>
      </c>
      <c r="BH8" s="21"/>
      <c r="BI8" s="19"/>
      <c r="BJ8" s="10">
        <v>139801</v>
      </c>
      <c r="BK8" s="17">
        <v>0.48799999999999999</v>
      </c>
      <c r="BL8" s="21"/>
      <c r="BM8" s="19"/>
      <c r="BN8" s="10">
        <v>202708</v>
      </c>
      <c r="BO8" s="17">
        <v>0.39560000000000001</v>
      </c>
      <c r="BP8" s="21"/>
      <c r="BQ8" s="19"/>
      <c r="BR8" s="10">
        <v>168783</v>
      </c>
      <c r="BS8" s="17">
        <f>SUM(BS3:BS7)</f>
        <v>0.49854546962668045</v>
      </c>
      <c r="BT8" s="21"/>
      <c r="BU8" s="19"/>
      <c r="BV8" s="10">
        <v>171821</v>
      </c>
      <c r="BW8" s="17">
        <f>SUM(BW3:BW7)</f>
        <v>0.48756554786667511</v>
      </c>
      <c r="BX8" s="21"/>
      <c r="BY8" s="19"/>
      <c r="BZ8" s="10">
        <v>76609</v>
      </c>
      <c r="CA8" s="17">
        <f>SUM(CA3:CA7)</f>
        <v>0.42138652116592051</v>
      </c>
      <c r="CB8" s="21"/>
      <c r="CC8" s="19"/>
      <c r="CD8" s="10">
        <v>22812</v>
      </c>
      <c r="CE8" s="17">
        <f>SUM(CE3:CE7)</f>
        <v>0.51240575135893396</v>
      </c>
      <c r="CF8" s="21"/>
      <c r="CG8" s="19"/>
      <c r="CH8" s="10"/>
      <c r="CI8" s="17"/>
      <c r="CJ8" s="21"/>
      <c r="CK8" s="19"/>
      <c r="CL8" s="10"/>
      <c r="CM8" s="17"/>
      <c r="CN8" s="21"/>
      <c r="CO8" s="19"/>
      <c r="CP8" s="10"/>
      <c r="CQ8" s="17"/>
      <c r="CR8" s="21"/>
      <c r="CS8" s="19"/>
      <c r="CT8" s="10"/>
      <c r="CU8" s="17"/>
      <c r="CV8" s="21"/>
      <c r="CW8" s="19"/>
      <c r="CX8" s="10"/>
      <c r="CY8" s="17"/>
      <c r="CZ8" s="21"/>
      <c r="DA8" s="19"/>
    </row>
  </sheetData>
  <mergeCells count="26">
    <mergeCell ref="CX1:DA1"/>
    <mergeCell ref="CD1:CG1"/>
    <mergeCell ref="CH1:CK1"/>
    <mergeCell ref="CL1:CO1"/>
    <mergeCell ref="CP1:CS1"/>
    <mergeCell ref="CT1:CW1"/>
    <mergeCell ref="BJ1:BM1"/>
    <mergeCell ref="BN1:BQ1"/>
    <mergeCell ref="BR1:BU1"/>
    <mergeCell ref="BV1:BY1"/>
    <mergeCell ref="BZ1:CC1"/>
    <mergeCell ref="AP1:AS1"/>
    <mergeCell ref="AT1:AW1"/>
    <mergeCell ref="AX1:BA1"/>
    <mergeCell ref="BB1:BE1"/>
    <mergeCell ref="BF1:BI1"/>
    <mergeCell ref="V1:Y1"/>
    <mergeCell ref="Z1:AC1"/>
    <mergeCell ref="AD1:AG1"/>
    <mergeCell ref="AH1:AK1"/>
    <mergeCell ref="AL1:AO1"/>
    <mergeCell ref="B1:E1"/>
    <mergeCell ref="F1:I1"/>
    <mergeCell ref="J1:M1"/>
    <mergeCell ref="N1:Q1"/>
    <mergeCell ref="R1:U1"/>
  </mergeCells>
  <dataValidations count="1">
    <dataValidation type="list" allowBlank="1" sqref="I3:I58 M3:M58 Q3:Q58 U3:U58 Y3:Y58 AC3:AC58 AG3:AG58 AK3:AK58 AO3:AO58 AS3:AS58 AW3:AW58 BA3:BA58 BE3:BE58 BI3:BI58 BM3:BM58 BQ3:BQ58 BU3:BU58 BY3:BY8 CC3:CC8 CG3:CG8 CK3:CK8 CO3:CO8 CS3:CS8 CW3:CW8 DA3:DA8 E3:E58" xr:uid="{00000000-0002-0000-0200-000000000000}">
      <formula1>"Product-focused,Category-focused,Generic,Lifestyle,Promotional,Seasonal"</formula1>
      <formula2>0</formula2>
    </dataValidation>
  </dataValidations>
  <hyperlinks>
    <hyperlink ref="D3" r:id="rId1" xr:uid="{00000000-0004-0000-0200-000000000000}"/>
    <hyperlink ref="H3" r:id="rId2" xr:uid="{00000000-0004-0000-0200-000001000000}"/>
    <hyperlink ref="L3" r:id="rId3" xr:uid="{00000000-0004-0000-0200-000002000000}"/>
    <hyperlink ref="P3" r:id="rId4" xr:uid="{00000000-0004-0000-0200-000003000000}"/>
    <hyperlink ref="T3" r:id="rId5" xr:uid="{00000000-0004-0000-0200-000004000000}"/>
    <hyperlink ref="X3" r:id="rId6" xr:uid="{00000000-0004-0000-0200-000005000000}"/>
    <hyperlink ref="AB3" r:id="rId7" xr:uid="{00000000-0004-0000-0200-000006000000}"/>
    <hyperlink ref="AJ3" r:id="rId8" xr:uid="{00000000-0004-0000-0200-000007000000}"/>
    <hyperlink ref="AN3" r:id="rId9" xr:uid="{00000000-0004-0000-0200-000008000000}"/>
    <hyperlink ref="AR3" r:id="rId10" xr:uid="{00000000-0004-0000-0200-000009000000}"/>
    <hyperlink ref="AV3" r:id="rId11" xr:uid="{00000000-0004-0000-0200-00000A000000}"/>
    <hyperlink ref="AZ3" r:id="rId12" xr:uid="{00000000-0004-0000-0200-00000B000000}"/>
    <hyperlink ref="BD3" r:id="rId13" xr:uid="{00000000-0004-0000-0200-00000C000000}"/>
    <hyperlink ref="BH3" r:id="rId14" xr:uid="{00000000-0004-0000-0200-00000D000000}"/>
    <hyperlink ref="BL3" r:id="rId15" xr:uid="{00000000-0004-0000-0200-00000E000000}"/>
    <hyperlink ref="BP3" r:id="rId16" xr:uid="{00000000-0004-0000-0200-00000F000000}"/>
    <hyperlink ref="BT3" r:id="rId17" xr:uid="{00000000-0004-0000-0200-000010000000}"/>
    <hyperlink ref="D4" r:id="rId18" xr:uid="{00000000-0004-0000-0200-000011000000}"/>
    <hyperlink ref="H4" r:id="rId19" xr:uid="{00000000-0004-0000-0200-000012000000}"/>
    <hyperlink ref="L4" r:id="rId20" xr:uid="{00000000-0004-0000-0200-000013000000}"/>
    <hyperlink ref="P4" r:id="rId21" xr:uid="{00000000-0004-0000-0200-000014000000}"/>
    <hyperlink ref="T4" r:id="rId22" xr:uid="{00000000-0004-0000-0200-000015000000}"/>
    <hyperlink ref="X4" r:id="rId23" xr:uid="{00000000-0004-0000-0200-000016000000}"/>
    <hyperlink ref="AB4" r:id="rId24" xr:uid="{00000000-0004-0000-0200-000017000000}"/>
    <hyperlink ref="AF4" r:id="rId25" xr:uid="{00000000-0004-0000-0200-000018000000}"/>
    <hyperlink ref="AJ4" r:id="rId26" xr:uid="{00000000-0004-0000-0200-000019000000}"/>
    <hyperlink ref="AN4" r:id="rId27" xr:uid="{00000000-0004-0000-0200-00001A000000}"/>
    <hyperlink ref="AR4" r:id="rId28" xr:uid="{00000000-0004-0000-0200-00001B000000}"/>
    <hyperlink ref="AV4" r:id="rId29" xr:uid="{00000000-0004-0000-0200-00001C000000}"/>
    <hyperlink ref="AZ4" r:id="rId30" xr:uid="{00000000-0004-0000-0200-00001D000000}"/>
    <hyperlink ref="BD4" r:id="rId31" xr:uid="{00000000-0004-0000-0200-00001E000000}"/>
    <hyperlink ref="BH4" r:id="rId32" xr:uid="{00000000-0004-0000-0200-00001F000000}"/>
    <hyperlink ref="BP4" r:id="rId33" xr:uid="{00000000-0004-0000-0200-000020000000}"/>
    <hyperlink ref="BT4" r:id="rId34" xr:uid="{00000000-0004-0000-0200-000021000000}"/>
    <hyperlink ref="D5" r:id="rId35" xr:uid="{00000000-0004-0000-0200-000022000000}"/>
    <hyperlink ref="H5" r:id="rId36" xr:uid="{00000000-0004-0000-0200-000023000000}"/>
    <hyperlink ref="L5" r:id="rId37" xr:uid="{00000000-0004-0000-0200-000024000000}"/>
    <hyperlink ref="P5" r:id="rId38" xr:uid="{00000000-0004-0000-0200-000025000000}"/>
    <hyperlink ref="T5" r:id="rId39" xr:uid="{00000000-0004-0000-0200-000026000000}"/>
    <hyperlink ref="X5" r:id="rId40" xr:uid="{00000000-0004-0000-0200-000027000000}"/>
    <hyperlink ref="AB5" r:id="rId41" xr:uid="{00000000-0004-0000-0200-000028000000}"/>
    <hyperlink ref="AF5" r:id="rId42" xr:uid="{00000000-0004-0000-0200-000029000000}"/>
    <hyperlink ref="AJ5" r:id="rId43" xr:uid="{00000000-0004-0000-0200-00002A000000}"/>
    <hyperlink ref="AN5" r:id="rId44" xr:uid="{00000000-0004-0000-0200-00002B000000}"/>
    <hyperlink ref="AR5" r:id="rId45" xr:uid="{00000000-0004-0000-0200-00002C000000}"/>
    <hyperlink ref="AV5" r:id="rId46" xr:uid="{00000000-0004-0000-0200-00002D000000}"/>
    <hyperlink ref="AZ5" r:id="rId47" xr:uid="{00000000-0004-0000-0200-00002E000000}"/>
    <hyperlink ref="BD5" r:id="rId48" xr:uid="{00000000-0004-0000-0200-00002F000000}"/>
    <hyperlink ref="BH5" r:id="rId49" xr:uid="{00000000-0004-0000-0200-000030000000}"/>
    <hyperlink ref="BL5" r:id="rId50" xr:uid="{00000000-0004-0000-0200-000031000000}"/>
    <hyperlink ref="BP5" r:id="rId51" xr:uid="{00000000-0004-0000-0200-000032000000}"/>
    <hyperlink ref="BT5" r:id="rId52" xr:uid="{00000000-0004-0000-0200-000033000000}"/>
    <hyperlink ref="BX5" r:id="rId53" xr:uid="{00000000-0004-0000-0200-000034000000}"/>
    <hyperlink ref="D6" r:id="rId54" xr:uid="{00000000-0004-0000-0200-000035000000}"/>
    <hyperlink ref="H6" r:id="rId55" xr:uid="{00000000-0004-0000-0200-000036000000}"/>
    <hyperlink ref="L6" r:id="rId56" xr:uid="{00000000-0004-0000-0200-000037000000}"/>
    <hyperlink ref="P6" r:id="rId57" xr:uid="{00000000-0004-0000-0200-000038000000}"/>
    <hyperlink ref="T6" r:id="rId58" xr:uid="{00000000-0004-0000-0200-000039000000}"/>
    <hyperlink ref="X6" r:id="rId59" xr:uid="{00000000-0004-0000-0200-00003A000000}"/>
    <hyperlink ref="AB6" r:id="rId60" xr:uid="{00000000-0004-0000-0200-00003B000000}"/>
    <hyperlink ref="AF6" r:id="rId61" xr:uid="{00000000-0004-0000-0200-00003C000000}"/>
    <hyperlink ref="AJ6" r:id="rId62" xr:uid="{00000000-0004-0000-0200-00003D000000}"/>
    <hyperlink ref="AN6" r:id="rId63" xr:uid="{00000000-0004-0000-0200-00003E000000}"/>
    <hyperlink ref="AR6" r:id="rId64" xr:uid="{00000000-0004-0000-0200-00003F000000}"/>
    <hyperlink ref="AV6" r:id="rId65" xr:uid="{00000000-0004-0000-0200-000040000000}"/>
    <hyperlink ref="AZ6" r:id="rId66" xr:uid="{00000000-0004-0000-0200-000041000000}"/>
    <hyperlink ref="BD6" r:id="rId67" xr:uid="{00000000-0004-0000-0200-000042000000}"/>
    <hyperlink ref="BH6" r:id="rId68" xr:uid="{00000000-0004-0000-0200-000043000000}"/>
    <hyperlink ref="BL6" r:id="rId69" xr:uid="{00000000-0004-0000-0200-000044000000}"/>
    <hyperlink ref="BP6" r:id="rId70" xr:uid="{00000000-0004-0000-0200-000045000000}"/>
    <hyperlink ref="BT6" r:id="rId71" xr:uid="{00000000-0004-0000-0200-000046000000}"/>
    <hyperlink ref="D7" r:id="rId72" xr:uid="{00000000-0004-0000-0200-000047000000}"/>
    <hyperlink ref="H7" r:id="rId73" xr:uid="{00000000-0004-0000-0200-000048000000}"/>
    <hyperlink ref="L7" r:id="rId74" xr:uid="{00000000-0004-0000-0200-000049000000}"/>
    <hyperlink ref="P7" r:id="rId75" xr:uid="{00000000-0004-0000-0200-00004A000000}"/>
    <hyperlink ref="T7" r:id="rId76" xr:uid="{00000000-0004-0000-0200-00004B000000}"/>
    <hyperlink ref="X7" r:id="rId77" xr:uid="{00000000-0004-0000-0200-00004C000000}"/>
    <hyperlink ref="AB7" r:id="rId78" xr:uid="{00000000-0004-0000-0200-00004D000000}"/>
    <hyperlink ref="AF7" r:id="rId79" xr:uid="{00000000-0004-0000-0200-00004E000000}"/>
    <hyperlink ref="AJ7" r:id="rId80" xr:uid="{00000000-0004-0000-0200-00004F000000}"/>
    <hyperlink ref="AN7" r:id="rId81" xr:uid="{00000000-0004-0000-0200-000050000000}"/>
    <hyperlink ref="AR7" r:id="rId82" xr:uid="{00000000-0004-0000-0200-000051000000}"/>
    <hyperlink ref="AV7" r:id="rId83" xr:uid="{00000000-0004-0000-0200-000052000000}"/>
    <hyperlink ref="AZ7" r:id="rId84" xr:uid="{00000000-0004-0000-0200-000053000000}"/>
    <hyperlink ref="BD7" r:id="rId85" xr:uid="{00000000-0004-0000-0200-000054000000}"/>
    <hyperlink ref="BH7" r:id="rId86" xr:uid="{00000000-0004-0000-0200-000055000000}"/>
    <hyperlink ref="BL7" r:id="rId87" xr:uid="{00000000-0004-0000-0200-000056000000}"/>
    <hyperlink ref="BP7" r:id="rId88" xr:uid="{00000000-0004-0000-0200-000057000000}"/>
    <hyperlink ref="BT7" r:id="rId89" xr:uid="{00000000-0004-0000-0200-000058000000}"/>
    <hyperlink ref="BX7" r:id="rId90" xr:uid="{76FF38B2-4E64-4A32-A862-CCD81401ACE2}"/>
    <hyperlink ref="CB5" r:id="rId91" xr:uid="{EDB4FC53-BA21-4E88-827E-728557902233}"/>
    <hyperlink ref="CB3" r:id="rId92" xr:uid="{93BDDBC6-FC5E-4FE7-A0D8-BDE0A981DB12}"/>
    <hyperlink ref="CB4" r:id="rId93" xr:uid="{1887EA12-3BA4-4A3E-A089-3FF429CE5D1F}"/>
    <hyperlink ref="CB6" r:id="rId94" xr:uid="{42E7B5D9-3785-4069-B005-159379F79A2D}"/>
    <hyperlink ref="CB7" r:id="rId95" xr:uid="{7C70A1C4-5F4A-491B-A584-927B6EDBB451}"/>
    <hyperlink ref="CF3" r:id="rId96" xr:uid="{F8EE8CB4-9E31-471A-9A11-B0DEFCFB2210}"/>
    <hyperlink ref="CF4" r:id="rId97" xr:uid="{8E21C27B-A812-46FE-8321-5E2C1E8B07EF}"/>
    <hyperlink ref="CF5" r:id="rId98" xr:uid="{16F7B12C-AFE3-4789-8377-D1180D96D089}"/>
    <hyperlink ref="CF6" r:id="rId99" xr:uid="{7E9B9C88-E179-4B80-9CBF-2DB8672C481C}"/>
    <hyperlink ref="CF7" r:id="rId100" xr:uid="{E9ECC980-7033-46F8-8BD2-225C9965F686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showGridLines="0" zoomScaleNormal="100" workbookViewId="0">
      <selection sqref="A1:J1"/>
    </sheetView>
  </sheetViews>
  <sheetFormatPr defaultColWidth="8.6640625" defaultRowHeight="14.4" x14ac:dyDescent="0.3"/>
  <cols>
    <col min="1" max="1" width="28" customWidth="1"/>
    <col min="2" max="2" width="12" customWidth="1"/>
    <col min="3" max="4" width="18" customWidth="1"/>
    <col min="5" max="6" width="12" customWidth="1"/>
    <col min="7" max="7" width="10" customWidth="1"/>
    <col min="8" max="8" width="13" customWidth="1"/>
    <col min="9" max="10" width="12" customWidth="1"/>
  </cols>
  <sheetData>
    <row r="1" spans="1:10" ht="27.75" customHeight="1" x14ac:dyDescent="0.3">
      <c r="A1" s="31" t="s">
        <v>425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36" customHeight="1" x14ac:dyDescent="0.3">
      <c r="A2" s="5" t="s">
        <v>14</v>
      </c>
      <c r="B2" s="5" t="s">
        <v>15</v>
      </c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  <c r="H2" s="5" t="s">
        <v>21</v>
      </c>
      <c r="I2" s="5" t="s">
        <v>22</v>
      </c>
      <c r="J2" s="5" t="s">
        <v>23</v>
      </c>
    </row>
    <row r="3" spans="1:10" ht="15.75" customHeight="1" x14ac:dyDescent="0.3">
      <c r="A3" s="22" t="s">
        <v>426</v>
      </c>
      <c r="B3" s="22" t="s">
        <v>427</v>
      </c>
      <c r="C3" s="22" t="s">
        <v>428</v>
      </c>
      <c r="D3" s="22" t="s">
        <v>429</v>
      </c>
      <c r="E3" s="22" t="s">
        <v>430</v>
      </c>
      <c r="F3" s="22" t="s">
        <v>430</v>
      </c>
      <c r="G3" s="22" t="s">
        <v>431</v>
      </c>
      <c r="H3" s="22" t="s">
        <v>431</v>
      </c>
      <c r="I3" s="22" t="s">
        <v>431</v>
      </c>
      <c r="J3" s="22" t="s">
        <v>431</v>
      </c>
    </row>
    <row r="4" spans="1:10" ht="15.75" customHeight="1" x14ac:dyDescent="0.3">
      <c r="A4" s="22" t="s">
        <v>426</v>
      </c>
      <c r="B4" s="22" t="s">
        <v>427</v>
      </c>
      <c r="C4" s="22" t="s">
        <v>428</v>
      </c>
      <c r="D4" s="22" t="s">
        <v>429</v>
      </c>
      <c r="E4" s="22" t="s">
        <v>430</v>
      </c>
      <c r="F4" s="22" t="s">
        <v>430</v>
      </c>
      <c r="G4" s="22" t="s">
        <v>431</v>
      </c>
      <c r="H4" s="22" t="s">
        <v>431</v>
      </c>
      <c r="I4" s="22" t="s">
        <v>431</v>
      </c>
      <c r="J4" s="22" t="s">
        <v>431</v>
      </c>
    </row>
    <row r="5" spans="1:10" ht="15.75" customHeight="1" x14ac:dyDescent="0.3">
      <c r="A5" s="22" t="s">
        <v>426</v>
      </c>
      <c r="B5" s="22" t="s">
        <v>427</v>
      </c>
      <c r="C5" s="22" t="s">
        <v>428</v>
      </c>
      <c r="D5" s="22" t="s">
        <v>429</v>
      </c>
      <c r="E5" s="22" t="s">
        <v>430</v>
      </c>
      <c r="F5" s="22" t="s">
        <v>430</v>
      </c>
      <c r="G5" s="22" t="s">
        <v>431</v>
      </c>
      <c r="H5" s="22" t="s">
        <v>431</v>
      </c>
      <c r="I5" s="22" t="s">
        <v>431</v>
      </c>
      <c r="J5" s="22" t="s">
        <v>431</v>
      </c>
    </row>
    <row r="6" spans="1:10" ht="15.75" customHeight="1" x14ac:dyDescent="0.3">
      <c r="A6" s="22" t="s">
        <v>426</v>
      </c>
      <c r="B6" s="22" t="s">
        <v>427</v>
      </c>
      <c r="C6" s="22" t="s">
        <v>428</v>
      </c>
      <c r="D6" s="22" t="s">
        <v>429</v>
      </c>
      <c r="E6" s="22" t="s">
        <v>430</v>
      </c>
      <c r="F6" s="22" t="s">
        <v>430</v>
      </c>
      <c r="G6" s="22" t="s">
        <v>431</v>
      </c>
      <c r="H6" s="22" t="s">
        <v>431</v>
      </c>
      <c r="I6" s="22" t="s">
        <v>431</v>
      </c>
      <c r="J6" s="22" t="s">
        <v>431</v>
      </c>
    </row>
    <row r="7" spans="1:10" ht="15.75" customHeight="1" x14ac:dyDescent="0.3">
      <c r="A7" s="22" t="s">
        <v>426</v>
      </c>
      <c r="B7" s="22" t="s">
        <v>427</v>
      </c>
      <c r="C7" s="22" t="s">
        <v>428</v>
      </c>
      <c r="D7" s="22" t="s">
        <v>429</v>
      </c>
      <c r="E7" s="22" t="s">
        <v>430</v>
      </c>
      <c r="F7" s="22" t="s">
        <v>430</v>
      </c>
      <c r="G7" s="22" t="s">
        <v>431</v>
      </c>
      <c r="H7" s="22" t="s">
        <v>431</v>
      </c>
      <c r="I7" s="22" t="s">
        <v>431</v>
      </c>
      <c r="J7" s="22" t="s">
        <v>431</v>
      </c>
    </row>
    <row r="8" spans="1:10" ht="15.75" customHeight="1" x14ac:dyDescent="0.3">
      <c r="A8" s="22" t="s">
        <v>426</v>
      </c>
      <c r="B8" s="22" t="s">
        <v>427</v>
      </c>
      <c r="C8" s="22" t="s">
        <v>428</v>
      </c>
      <c r="D8" s="22" t="s">
        <v>429</v>
      </c>
      <c r="E8" s="22" t="s">
        <v>430</v>
      </c>
      <c r="F8" s="22" t="s">
        <v>430</v>
      </c>
      <c r="G8" s="22" t="s">
        <v>431</v>
      </c>
      <c r="H8" s="22" t="s">
        <v>431</v>
      </c>
      <c r="I8" s="22" t="s">
        <v>431</v>
      </c>
      <c r="J8" s="22" t="s">
        <v>431</v>
      </c>
    </row>
    <row r="9" spans="1:10" ht="15.75" customHeight="1" x14ac:dyDescent="0.3">
      <c r="A9" s="22" t="s">
        <v>426</v>
      </c>
      <c r="B9" s="22" t="s">
        <v>427</v>
      </c>
      <c r="C9" s="22" t="s">
        <v>428</v>
      </c>
      <c r="D9" s="22" t="s">
        <v>429</v>
      </c>
      <c r="E9" s="22" t="s">
        <v>430</v>
      </c>
      <c r="F9" s="22" t="s">
        <v>430</v>
      </c>
      <c r="G9" s="22" t="s">
        <v>431</v>
      </c>
      <c r="H9" s="22" t="s">
        <v>431</v>
      </c>
      <c r="I9" s="22" t="s">
        <v>431</v>
      </c>
      <c r="J9" s="22" t="s">
        <v>431</v>
      </c>
    </row>
    <row r="10" spans="1:10" ht="15.75" customHeight="1" x14ac:dyDescent="0.3">
      <c r="A10" s="22" t="s">
        <v>426</v>
      </c>
      <c r="B10" s="22" t="s">
        <v>427</v>
      </c>
      <c r="C10" s="22" t="s">
        <v>428</v>
      </c>
      <c r="D10" s="22" t="s">
        <v>429</v>
      </c>
      <c r="E10" s="22" t="s">
        <v>430</v>
      </c>
      <c r="F10" s="22" t="s">
        <v>430</v>
      </c>
      <c r="G10" s="22" t="s">
        <v>431</v>
      </c>
      <c r="H10" s="22" t="s">
        <v>431</v>
      </c>
      <c r="I10" s="22" t="s">
        <v>431</v>
      </c>
      <c r="J10" s="22" t="s">
        <v>431</v>
      </c>
    </row>
    <row r="11" spans="1:10" ht="15.75" customHeight="1" x14ac:dyDescent="0.3">
      <c r="A11" s="22" t="s">
        <v>426</v>
      </c>
      <c r="B11" s="22" t="s">
        <v>427</v>
      </c>
      <c r="C11" s="22" t="s">
        <v>428</v>
      </c>
      <c r="D11" s="22" t="s">
        <v>429</v>
      </c>
      <c r="E11" s="22" t="s">
        <v>430</v>
      </c>
      <c r="F11" s="22" t="s">
        <v>430</v>
      </c>
      <c r="G11" s="22" t="s">
        <v>431</v>
      </c>
      <c r="H11" s="22" t="s">
        <v>431</v>
      </c>
      <c r="I11" s="22" t="s">
        <v>431</v>
      </c>
      <c r="J11" s="22" t="s">
        <v>431</v>
      </c>
    </row>
    <row r="12" spans="1:10" ht="15.75" customHeight="1" x14ac:dyDescent="0.3">
      <c r="A12" s="22" t="s">
        <v>426</v>
      </c>
      <c r="B12" s="22" t="s">
        <v>427</v>
      </c>
      <c r="C12" s="22" t="s">
        <v>428</v>
      </c>
      <c r="D12" s="22" t="s">
        <v>429</v>
      </c>
      <c r="E12" s="22" t="s">
        <v>430</v>
      </c>
      <c r="F12" s="22" t="s">
        <v>430</v>
      </c>
      <c r="G12" s="22" t="s">
        <v>431</v>
      </c>
      <c r="H12" s="22" t="s">
        <v>431</v>
      </c>
      <c r="I12" s="22" t="s">
        <v>431</v>
      </c>
      <c r="J12" s="22" t="s">
        <v>431</v>
      </c>
    </row>
    <row r="14" spans="1:10" ht="19.5" customHeight="1" x14ac:dyDescent="0.3">
      <c r="A14" s="32" t="s">
        <v>432</v>
      </c>
      <c r="B14" s="32"/>
      <c r="C14" s="32"/>
      <c r="D14" s="32"/>
      <c r="E14" s="32"/>
      <c r="F14" s="32"/>
      <c r="G14" s="32"/>
      <c r="H14" s="32"/>
      <c r="I14" s="32"/>
      <c r="J14" s="32"/>
    </row>
  </sheetData>
  <mergeCells count="2">
    <mergeCell ref="A1:J1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Funnel Data</vt:lpstr>
      <vt:lpstr>Asset Data</vt:lpstr>
      <vt:lpstr>New Promo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Claxton, Zach</cp:lastModifiedBy>
  <cp:revision>0</cp:revision>
  <dcterms:created xsi:type="dcterms:W3CDTF">2026-06-03T14:13:59Z</dcterms:created>
  <dcterms:modified xsi:type="dcterms:W3CDTF">2026-06-23T11:52:20Z</dcterms:modified>
  <dc:language>en-US</dc:language>
</cp:coreProperties>
</file>